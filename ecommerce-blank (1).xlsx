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lay\Downloads\"/>
    </mc:Choice>
  </mc:AlternateContent>
  <xr:revisionPtr revIDLastSave="0" documentId="13_ncr:1_{536593F2-DB82-47B0-AB4D-45FD6EA3A0B0}" xr6:coauthVersionLast="47" xr6:coauthVersionMax="47" xr10:uidLastSave="{00000000-0000-0000-0000-000000000000}"/>
  <bookViews>
    <workbookView xWindow="-110" yWindow="-110" windowWidth="19420" windowHeight="10300" xr2:uid="{346724B3-1C49-40AE-AA36-C77CF5D6DD09}"/>
  </bookViews>
  <sheets>
    <sheet name="dshb" sheetId="8" r:id="rId1"/>
    <sheet name="Sheet2" sheetId="6" r:id="rId2"/>
    <sheet name="Sheet5" sheetId="10" r:id="rId3"/>
    <sheet name="Sheet6" sheetId="11" r:id="rId4"/>
    <sheet name="Sheet7" sheetId="12" r:id="rId5"/>
    <sheet name="Sheet9" sheetId="14" r:id="rId6"/>
    <sheet name="Sheet10" sheetId="15" r:id="rId7"/>
    <sheet name="Data" sheetId="1" r:id="rId8"/>
    <sheet name="Questions &amp; KPIs" sheetId="2" r:id="rId9"/>
    <sheet name="Dashboard" sheetId="3" r:id="rId10"/>
    <sheet name="Logo &amp; Colors" sheetId="4" r:id="rId11"/>
  </sheets>
  <calcPr calcId="181029"/>
  <pivotCaches>
    <pivotCache cacheId="26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0" l="1"/>
  <c r="J4" i="10"/>
  <c r="K4" i="10"/>
  <c r="L4" i="10"/>
  <c r="I4" i="10"/>
  <c r="J5" i="10"/>
  <c r="K5" i="10"/>
  <c r="L5" i="10"/>
  <c r="I6" i="10"/>
  <c r="J6" i="10"/>
  <c r="K6" i="10"/>
  <c r="L6" i="10"/>
  <c r="I7" i="10"/>
  <c r="J7" i="10"/>
  <c r="K7" i="10"/>
  <c r="L7" i="10"/>
  <c r="I8" i="10"/>
  <c r="J8" i="10"/>
  <c r="K8" i="10"/>
  <c r="L8" i="10"/>
  <c r="I9" i="10"/>
  <c r="J9" i="10"/>
  <c r="K9" i="10"/>
  <c r="L9" i="10"/>
  <c r="H6" i="10"/>
  <c r="H7" i="10"/>
  <c r="H8" i="10"/>
  <c r="H9" i="10"/>
  <c r="H5" i="10"/>
  <c r="K4" i="6"/>
  <c r="J4" i="6"/>
  <c r="I4" i="6"/>
  <c r="H4" i="6"/>
  <c r="G4" i="6"/>
  <c r="O2401" i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<sst xmlns="http://schemas.openxmlformats.org/spreadsheetml/2006/main" count="14548" uniqueCount="2573">
  <si>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</si>
  <si>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</si>
  <si>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</si>
  <si>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</si>
  <si>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</si>
  <si>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</si>
  <si>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</si>
  <si>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</si>
  <si>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</si>
  <si>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</si>
  <si>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</si>
  <si>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</si>
  <si>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</si>
  <si>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</si>
  <si>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</si>
  <si>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</si>
  <si>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</si>
  <si>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</si>
  <si>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</si>
  <si>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</si>
  <si>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</si>
  <si>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</si>
  <si>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</si>
  <si>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</si>
  <si>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</si>
  <si>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</si>
  <si>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</si>
  <si>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</si>
  <si>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</si>
  <si>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</si>
  <si>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</si>
  <si>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</si>
  <si>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</si>
  <si>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</si>
  <si>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</si>
  <si>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</si>
  <si>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</si>
  <si>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</si>
  <si>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</si>
  <si>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</si>
  <si>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</si>
  <si>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</si>
  <si>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</si>
  <si>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</si>
  <si>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</si>
  <si>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</si>
  <si>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</si>
  <si>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</si>
  <si>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</si>
  <si>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</si>
  <si>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</si>
  <si>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</si>
  <si>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</si>
  <si>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</si>
  <si>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</si>
  <si>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</si>
  <si>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</si>
  <si>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</si>
  <si>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</si>
  <si>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</si>
  <si>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</si>
  <si>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</si>
  <si>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</si>
  <si>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</si>
  <si>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</si>
  <si>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</si>
  <si>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</si>
  <si>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</si>
  <si>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</si>
  <si>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</si>
  <si>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</si>
  <si>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</si>
  <si>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</si>
  <si>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</si>
  <si>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</si>
  <si>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</si>
  <si>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</si>
  <si>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</si>
  <si>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</si>
  <si>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</si>
  <si>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</si>
  <si>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</si>
  <si>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</si>
  <si>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</si>
  <si>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</si>
  <si>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</si>
  <si>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</si>
  <si>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</si>
  <si>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</si>
  <si>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</si>
  <si>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</si>
  <si>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</si>
  <si>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</si>
  <si>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</si>
  <si>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</si>
  <si>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</si>
  <si>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</si>
  <si>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</si>
  <si>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</si>
  <si>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</si>
  <si>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</si>
  <si>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</si>
  <si>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</si>
  <si>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</si>
  <si>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</si>
  <si>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</si>
  <si>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</si>
  <si>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</si>
  <si>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</si>
  <si>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</si>
  <si>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</si>
  <si>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</si>
  <si>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</si>
  <si>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</si>
  <si>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</si>
  <si>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</si>
  <si>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</si>
  <si>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</si>
  <si>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</si>
  <si>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</si>
  <si>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</si>
  <si>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</si>
  <si>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</si>
  <si>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</si>
  <si>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</si>
  <si>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</si>
  <si>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</si>
  <si>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</si>
  <si>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</si>
  <si>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</si>
  <si>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</si>
  <si>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</si>
  <si>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</si>
  <si>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</si>
  <si>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</si>
  <si>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</si>
  <si>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</si>
  <si>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</si>
  <si>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</si>
  <si>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</si>
  <si>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</si>
  <si>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</si>
  <si>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</si>
  <si>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</si>
  <si>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</si>
  <si>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</si>
  <si>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</si>
  <si>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</si>
  <si>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</si>
  <si>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</si>
  <si>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</si>
  <si>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</si>
  <si>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</si>
  <si>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</si>
  <si>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</si>
  <si>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</si>
  <si>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</si>
  <si>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</si>
  <si>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</si>
  <si>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</si>
  <si>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</si>
  <si>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</si>
  <si>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</si>
  <si>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</si>
  <si>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</si>
  <si>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</si>
  <si>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</si>
  <si>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</si>
  <si>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</si>
  <si>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</si>
  <si>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</si>
  <si>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</si>
  <si>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</si>
  <si>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</si>
  <si>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</si>
  <si>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</si>
  <si>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</si>
  <si>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</si>
  <si>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</si>
  <si>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</si>
  <si>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</si>
  <si>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</si>
  <si>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</si>
  <si>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</si>
  <si>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</si>
  <si>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</si>
  <si>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</si>
  <si>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</si>
  <si>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</si>
  <si>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</si>
  <si>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</si>
  <si>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</si>
  <si>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</si>
  <si>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</si>
  <si>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</si>
  <si>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</si>
  <si>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</si>
  <si>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</si>
  <si>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</si>
  <si>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</si>
  <si>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</si>
  <si>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</si>
  <si>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</si>
  <si>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</si>
  <si>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</si>
  <si>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</si>
  <si>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</si>
  <si>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</si>
  <si>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</si>
  <si>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</si>
  <si>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</si>
  <si>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</si>
  <si>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</si>
  <si>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</si>
  <si>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</si>
  <si>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</si>
  <si>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</si>
  <si>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</si>
  <si>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</si>
  <si>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</si>
  <si>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</si>
  <si>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</si>
  <si>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</si>
  <si>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</si>
  <si>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</si>
  <si>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</si>
  <si>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</si>
  <si>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</si>
  <si>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</si>
  <si>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</si>
  <si>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</si>
  <si>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</si>
  <si>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</si>
  <si>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</si>
  <si>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</si>
  <si>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</si>
  <si>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</si>
  <si>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</si>
  <si>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</si>
  <si>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</si>
  <si>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</si>
  <si>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</si>
  <si>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</si>
  <si>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</si>
  <si>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</si>
  <si>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</si>
  <si>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</si>
  <si>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</si>
  <si>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</si>
  <si>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</si>
  <si>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</si>
  <si>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</si>
  <si>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</si>
  <si>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</si>
  <si>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</si>
  <si>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</si>
  <si>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</si>
  <si>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</si>
  <si>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</si>
  <si>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</si>
  <si>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</si>
  <si>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</si>
  <si>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</si>
  <si>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</si>
  <si>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</si>
  <si>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</si>
  <si>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</si>
  <si>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</si>
  <si>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</si>
  <si>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</si>
  <si>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</si>
  <si>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</si>
  <si>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</si>
  <si>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</si>
  <si>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</si>
  <si>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</si>
  <si>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</si>
  <si>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</si>
  <si>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</si>
  <si>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</si>
  <si>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</si>
  <si>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</si>
  <si>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</si>
  <si>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</si>
  <si>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</si>
  <si>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</si>
  <si>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</si>
  <si>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</si>
  <si>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</si>
  <si>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</si>
  <si>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</si>
  <si>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</si>
  <si>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</si>
  <si>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</si>
  <si>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</si>
  <si>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</si>
  <si>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</si>
  <si>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</si>
  <si>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</si>
  <si>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</si>
  <si>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</si>
  <si>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</si>
  <si>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</si>
  <si>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</si>
  <si>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</si>
  <si>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</si>
  <si>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</si>
  <si>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</si>
  <si>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</si>
  <si>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</si>
  <si>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</si>
  <si>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</si>
  <si>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</si>
  <si>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</si>
  <si>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</si>
  <si>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</si>
  <si>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</si>
  <si>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</si>
  <si>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</si>
  <si>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</si>
  <si>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</si>
  <si>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</si>
  <si>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</si>
  <si>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</si>
  <si>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</si>
  <si>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</si>
  <si>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</si>
  <si>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</si>
  <si>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</si>
  <si>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</si>
  <si>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</si>
  <si>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</si>
  <si>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</si>
  <si>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</si>
  <si>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</si>
  <si>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</si>
  <si>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</si>
  <si>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</si>
  <si>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</si>
  <si>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</si>
  <si>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</si>
  <si>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</si>
  <si>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</si>
  <si>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</si>
  <si>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</si>
  <si>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</si>
  <si>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</si>
  <si>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</si>
  <si>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</si>
  <si>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</si>
  <si>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</si>
  <si>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</si>
  <si>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</si>
  <si>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</si>
  <si>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</si>
  <si>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</si>
  <si>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</si>
  <si>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</si>
  <si>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</si>
  <si>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</si>
  <si>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</si>
  <si>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</si>
  <si>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</si>
  <si>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</si>
  <si>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</si>
  <si>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</si>
  <si>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</si>
  <si>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</si>
  <si>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</si>
  <si>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</si>
  <si>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</si>
  <si>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</si>
  <si>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</si>
  <si>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</si>
  <si>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</si>
  <si>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</si>
  <si>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</si>
  <si>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</si>
  <si>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</si>
  <si>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</si>
  <si>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</si>
  <si>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</si>
  <si>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</si>
  <si>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</si>
  <si>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</si>
  <si>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</si>
  <si>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</si>
  <si>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</si>
  <si>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</si>
  <si>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</si>
  <si>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</si>
  <si>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</si>
  <si>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</si>
  <si>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</si>
  <si>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</si>
  <si>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</si>
  <si>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</si>
  <si>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</si>
  <si>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</si>
  <si>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</si>
  <si>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</si>
  <si>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</si>
  <si>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</si>
  <si>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</si>
  <si>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</si>
  <si>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</si>
  <si>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</si>
  <si>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</si>
  <si>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</si>
  <si>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</si>
  <si>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</si>
  <si>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</si>
  <si>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</si>
  <si>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</si>
  <si>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</si>
  <si>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</si>
  <si>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</si>
  <si>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</si>
  <si>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</si>
  <si>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</si>
  <si>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</si>
  <si>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</si>
  <si>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</si>
  <si>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</si>
  <si>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</si>
  <si>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</si>
  <si>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</si>
  <si>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</si>
  <si>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</si>
  <si>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</si>
  <si>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</si>
  <si>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</si>
  <si>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</si>
  <si>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</si>
  <si>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</si>
  <si>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</si>
  <si>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</si>
  <si>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</si>
  <si>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</si>
  <si>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</si>
  <si>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</si>
  <si>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</si>
  <si>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</si>
  <si>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</si>
  <si>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</si>
  <si>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</si>
  <si>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</si>
  <si>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</si>
  <si>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</si>
  <si>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</si>
  <si>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</si>
  <si>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</si>
  <si>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</si>
  <si>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</si>
  <si>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</si>
  <si>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</si>
  <si>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</si>
  <si>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</si>
  <si>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</si>
  <si>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</si>
  <si>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</si>
  <si>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</si>
  <si>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</si>
  <si>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</si>
  <si>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</si>
  <si>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</si>
  <si>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</si>
  <si>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</si>
  <si>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</si>
  <si>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</si>
  <si>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</si>
  <si>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</si>
  <si>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</si>
  <si>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</si>
  <si>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</si>
  <si>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</si>
  <si>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</si>
  <si>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</si>
  <si>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</si>
  <si>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</si>
  <si>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</si>
  <si>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</si>
  <si>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</si>
  <si>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</si>
  <si>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</si>
  <si>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</si>
  <si>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</si>
  <si>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</si>
  <si>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</si>
  <si>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</si>
  <si>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</si>
  <si>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</si>
  <si>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</si>
  <si>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</si>
  <si>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</si>
  <si>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</si>
  <si>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</si>
  <si>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</si>
  <si>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</si>
  <si>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</si>
  <si>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</si>
  <si>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</si>
  <si>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</si>
  <si>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</si>
  <si>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</si>
  <si>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</si>
  <si>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</si>
  <si>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</si>
  <si>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</si>
  <si>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</si>
  <si>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</si>
  <si>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</si>
  <si>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</si>
  <si>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</si>
  <si>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</si>
  <si>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</si>
  <si>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</si>
  <si>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</si>
  <si>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</si>
  <si>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</si>
  <si>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</si>
  <si>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</si>
  <si>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</si>
  <si>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</si>
  <si>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</si>
  <si>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</si>
  <si>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</si>
  <si>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</si>
  <si>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</si>
  <si>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</si>
  <si>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</si>
  <si>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</si>
  <si>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</si>
  <si>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</si>
  <si>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</si>
  <si>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</si>
  <si>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</si>
  <si>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</si>
  <si>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</si>
  <si>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</si>
  <si>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</si>
  <si>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</si>
  <si>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</si>
  <si>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</si>
  <si>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</si>
  <si>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</si>
  <si>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</si>
  <si>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</si>
  <si>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</si>
  <si>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</si>
  <si>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</si>
  <si>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</si>
  <si>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</si>
  <si>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</si>
  <si>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</si>
  <si>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</si>
  <si>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</si>
  <si>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</si>
  <si>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</si>
  <si>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</si>
  <si>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</si>
  <si>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</si>
  <si>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</si>
  <si>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</si>
  <si>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</si>
  <si>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</si>
  <si>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</si>
  <si>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</si>
  <si>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</si>
  <si>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</si>
  <si>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</si>
  <si>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</si>
  <si>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</si>
  <si>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</si>
  <si>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</si>
  <si>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</si>
  <si>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</si>
  <si>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</si>
  <si>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</si>
  <si>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</si>
  <si>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</si>
  <si>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</si>
  <si>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</si>
  <si>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</si>
  <si>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</si>
  <si>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</si>
  <si>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</si>
  <si>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</si>
  <si>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</si>
  <si>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</si>
  <si>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</si>
  <si>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</si>
  <si>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</si>
  <si>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</si>
  <si>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</si>
  <si>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</si>
  <si>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</si>
  <si>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</si>
  <si>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</si>
  <si>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</si>
  <si>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</si>
  <si>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</si>
  <si>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</si>
  <si>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</si>
  <si>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</si>
  <si>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</si>
  <si>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</si>
  <si>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</si>
  <si>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</si>
  <si>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</si>
  <si>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</si>
  <si>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</si>
  <si>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</si>
  <si>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</si>
  <si>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</si>
  <si>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</si>
  <si>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</si>
  <si>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</si>
  <si>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</si>
  <si>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</si>
  <si>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</si>
  <si>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</si>
  <si>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</si>
  <si>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</si>
  <si>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</si>
  <si>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</si>
  <si>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</si>
  <si>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</si>
  <si>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</si>
  <si>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</si>
  <si>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</si>
  <si>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</si>
  <si>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</si>
  <si>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</si>
  <si>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</si>
  <si>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</si>
  <si>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</si>
  <si>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</si>
  <si>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</si>
  <si>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</si>
  <si>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</si>
  <si>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</si>
  <si>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</si>
  <si>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</si>
  <si>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</si>
  <si>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</si>
  <si>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</si>
  <si>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</si>
  <si>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</si>
  <si>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</si>
  <si>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</si>
  <si>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</si>
  <si>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</si>
  <si>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</si>
  <si>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</si>
  <si>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</si>
  <si>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</si>
  <si>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</si>
  <si>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</si>
  <si>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</si>
  <si>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</si>
  <si>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</si>
  <si>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</si>
  <si>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</si>
  <si>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</si>
  <si>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</si>
  <si>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</si>
  <si>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</si>
  <si>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</si>
  <si>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</si>
  <si>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</si>
  <si>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</si>
  <si>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</si>
  <si>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</si>
  <si>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</si>
  <si>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</si>
  <si>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</si>
  <si>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</si>
  <si>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</si>
  <si>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</si>
  <si>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</si>
  <si>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</si>
  <si>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</si>
  <si>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</si>
  <si>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</si>
  <si>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</si>
  <si>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</si>
  <si>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</si>
  <si>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</si>
  <si>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</si>
  <si>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</si>
  <si>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</si>
  <si>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</si>
  <si>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</si>
  <si>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</si>
  <si>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</si>
  <si>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</si>
  <si>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</si>
  <si>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</si>
  <si>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</si>
  <si>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</si>
  <si>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</si>
  <si>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</si>
  <si>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</si>
  <si>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</si>
  <si>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</si>
  <si>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</si>
  <si>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</si>
  <si>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</si>
  <si>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</si>
  <si>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</si>
  <si>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</si>
  <si>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</si>
  <si>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</si>
  <si>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</si>
  <si>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</si>
  <si>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</si>
  <si>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</si>
  <si>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</si>
  <si>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</si>
  <si>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</si>
  <si>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</si>
  <si>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</si>
  <si>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</si>
  <si>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</si>
  <si>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</si>
  <si>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</si>
  <si>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</si>
  <si>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</si>
  <si>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</si>
  <si>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</si>
  <si>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</si>
  <si>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</si>
  <si>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</si>
  <si>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</si>
  <si>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</si>
  <si>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</si>
  <si>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</si>
  <si>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</si>
  <si>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</si>
  <si>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</si>
  <si>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</si>
  <si>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</si>
  <si>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</si>
  <si>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</si>
  <si>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</si>
  <si>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</si>
  <si>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</si>
  <si>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</si>
  <si>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</si>
  <si>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</si>
  <si>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</si>
  <si>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</si>
  <si>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</si>
  <si>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</si>
  <si>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</si>
  <si>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</si>
  <si>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</si>
  <si>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</si>
  <si>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</si>
  <si>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</si>
  <si>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</si>
  <si>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</si>
  <si>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</si>
  <si>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</si>
  <si>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</si>
  <si>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</si>
  <si>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</si>
  <si>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</si>
  <si>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</si>
  <si>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</si>
  <si>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</si>
  <si>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</si>
  <si>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</si>
  <si>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</si>
  <si>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</si>
  <si>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</si>
  <si>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</si>
  <si>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</si>
  <si>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</si>
  <si>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</si>
  <si>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</si>
  <si>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</si>
  <si>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</si>
  <si>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</si>
  <si>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</si>
  <si>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</si>
  <si>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</si>
  <si>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</si>
  <si>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</si>
  <si>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</si>
  <si>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</si>
  <si>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</si>
  <si>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</si>
  <si>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</si>
  <si>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</si>
  <si>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</si>
  <si>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</si>
  <si>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</si>
  <si>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</si>
  <si>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</si>
  <si>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</si>
  <si>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</si>
  <si>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</si>
  <si>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</si>
  <si>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</si>
  <si>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</si>
  <si>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</si>
  <si>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</si>
  <si>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</si>
  <si>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</si>
  <si>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</si>
  <si>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</si>
  <si>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</si>
  <si>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</si>
  <si>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</si>
  <si>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</si>
  <si>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</si>
  <si>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</si>
  <si>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</si>
  <si>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</si>
  <si>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</si>
  <si>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</si>
  <si>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</si>
  <si>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</si>
  <si>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</si>
  <si>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</si>
  <si>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</si>
  <si>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</si>
  <si>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</si>
  <si>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</si>
  <si>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</si>
  <si>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</si>
  <si>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</si>
  <si>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</si>
  <si>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</si>
  <si>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</si>
  <si>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</si>
  <si>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</si>
  <si>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</si>
  <si>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</si>
  <si>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</si>
  <si>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</si>
  <si>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</si>
  <si>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</si>
  <si>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</si>
  <si>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</si>
  <si>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</si>
  <si>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</si>
  <si>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</si>
  <si>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</si>
  <si>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</si>
  <si>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</si>
  <si>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</si>
  <si>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</si>
  <si>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</si>
  <si>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</si>
  <si>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</si>
  <si>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</si>
  <si>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</si>
  <si>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</si>
  <si>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</si>
  <si>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</si>
  <si>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</si>
  <si>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</si>
  <si>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</si>
  <si>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</si>
  <si>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</si>
  <si>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</si>
  <si>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</si>
  <si>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</si>
  <si>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</si>
  <si>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</si>
  <si>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</si>
  <si>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</si>
  <si>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</si>
  <si>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</si>
  <si>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</si>
  <si>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</si>
  <si>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</si>
  <si>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</si>
  <si>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</si>
  <si>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</si>
  <si>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</si>
  <si>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</si>
  <si>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</si>
  <si>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</si>
  <si>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</si>
  <si>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</si>
  <si>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</si>
  <si>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</si>
  <si>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</si>
  <si>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</si>
  <si>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</si>
  <si>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</si>
  <si>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</si>
  <si>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</si>
  <si>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</si>
  <si>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</si>
  <si>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</si>
  <si>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</si>
  <si>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</si>
  <si>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</si>
  <si>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</si>
  <si>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</si>
  <si>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</si>
  <si>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</si>
  <si>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</si>
  <si>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</si>
  <si>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</si>
  <si>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</si>
  <si>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</si>
  <si>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</si>
  <si>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</si>
  <si>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</si>
  <si>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</si>
  <si>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</si>
  <si>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</si>
  <si>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</si>
  <si>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</si>
  <si>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</si>
  <si>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</si>
  <si>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</si>
  <si>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</si>
  <si>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</si>
  <si>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</si>
  <si>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</si>
  <si>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</si>
  <si>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</si>
  <si>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</si>
  <si>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</si>
  <si>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</si>
  <si>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</si>
  <si>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</si>
  <si>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</si>
  <si>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</si>
  <si>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</si>
  <si>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</si>
  <si>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</si>
  <si>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</si>
  <si>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</si>
  <si>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</si>
  <si>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</si>
  <si>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</si>
  <si>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</si>
  <si>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</si>
  <si>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</si>
  <si>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</si>
  <si>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</si>
  <si>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</si>
  <si>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</si>
  <si>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</si>
  <si>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</si>
  <si>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</si>
  <si>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</si>
  <si>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</si>
  <si>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</si>
  <si>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</si>
  <si>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</si>
  <si>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</si>
  <si>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</si>
  <si>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</si>
  <si>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</si>
  <si>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</si>
  <si>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</si>
  <si>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</si>
  <si>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</si>
  <si>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</si>
  <si>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</si>
  <si>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</si>
  <si>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</si>
  <si>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</si>
  <si>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</si>
  <si>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</si>
  <si>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</si>
  <si>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</si>
  <si>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</si>
  <si>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</si>
  <si>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</si>
  <si>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</si>
  <si>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</si>
  <si>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</si>
  <si>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</si>
  <si>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</si>
  <si>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</si>
  <si>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</si>
  <si>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</si>
  <si>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</si>
  <si>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</si>
  <si>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</si>
  <si>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</si>
  <si>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</si>
  <si>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</si>
  <si>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</si>
  <si>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</si>
  <si>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</si>
  <si>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</si>
  <si>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</si>
  <si>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</si>
  <si>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</si>
  <si>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</si>
  <si>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</si>
  <si>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</si>
  <si>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</si>
  <si>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</si>
  <si>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</si>
  <si>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</si>
  <si>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</si>
  <si>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</si>
  <si>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</si>
  <si>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</si>
  <si>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</si>
  <si>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</si>
  <si>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</si>
  <si>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</si>
  <si>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</si>
  <si>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</si>
  <si>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</si>
  <si>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</si>
  <si>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</si>
  <si>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</si>
  <si>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</si>
  <si>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</si>
  <si>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</si>
  <si>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</si>
  <si>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</si>
  <si>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</si>
  <si>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</si>
  <si>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</si>
  <si>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</si>
  <si>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</si>
  <si>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</si>
  <si>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</si>
  <si>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</si>
  <si>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</si>
  <si>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</si>
  <si>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</si>
  <si>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</si>
  <si>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</si>
  <si>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</si>
  <si>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</si>
  <si>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</si>
  <si>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</si>
  <si>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</si>
  <si>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</si>
  <si>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</si>
  <si>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</si>
  <si>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</si>
  <si>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</si>
  <si>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</si>
  <si>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</si>
  <si>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</si>
  <si>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</si>
  <si>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</si>
  <si>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</si>
  <si>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</si>
  <si>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</si>
  <si>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</si>
  <si>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</si>
  <si>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</si>
  <si>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</si>
  <si>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</si>
  <si>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</si>
  <si>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</si>
  <si>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</si>
  <si>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</si>
  <si>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</si>
  <si>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</si>
  <si>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</si>
  <si>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</si>
  <si>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</si>
  <si>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</si>
  <si>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</si>
  <si>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</si>
  <si>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</si>
  <si>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</si>
  <si>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</si>
  <si>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</si>
  <si>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</si>
  <si>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</si>
  <si>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</si>
  <si>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</si>
  <si>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</si>
  <si>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</si>
  <si>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</si>
  <si>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</si>
  <si>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</si>
  <si>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</si>
  <si>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</si>
  <si>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</si>
  <si>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</si>
  <si>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</si>
  <si>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</si>
  <si>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</si>
  <si>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</si>
  <si>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</si>
  <si>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</si>
  <si>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</si>
  <si>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</si>
  <si>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</si>
  <si>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</si>
  <si>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</si>
  <si>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</si>
  <si>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</si>
  <si>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</si>
  <si>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</si>
  <si>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</si>
  <si>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</si>
  <si>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</si>
  <si>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</si>
  <si>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</si>
  <si>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</si>
  <si>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</si>
  <si>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</si>
  <si>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</si>
  <si>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</si>
  <si>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</si>
  <si>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</si>
  <si>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</si>
  <si>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</si>
  <si>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</si>
  <si>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</si>
  <si>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</si>
  <si>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</si>
  <si>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</si>
  <si>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</si>
  <si>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</si>
  <si>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</si>
  <si>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</si>
  <si>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</si>
  <si>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</si>
  <si>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</si>
  <si>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</si>
  <si>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</si>
  <si>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</si>
  <si>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</si>
  <si>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</si>
  <si>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</si>
  <si>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</si>
  <si>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</si>
  <si>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</si>
  <si>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</si>
  <si>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</si>
  <si>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</si>
  <si>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</si>
  <si>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</si>
  <si>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</si>
  <si>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</si>
  <si>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</si>
  <si>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</si>
  <si>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</si>
  <si>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</si>
  <si>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</si>
  <si>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</si>
  <si>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</si>
  <si>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</si>
  <si>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</si>
  <si>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</si>
  <si>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</si>
  <si>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</si>
  <si>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</si>
  <si>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</si>
  <si>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</si>
  <si>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</si>
  <si>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</si>
  <si>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</si>
  <si>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</si>
  <si>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</si>
  <si>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</si>
  <si>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</si>
  <si>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</si>
  <si>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</si>
  <si>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</si>
  <si>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</si>
  <si>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</si>
  <si>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</si>
  <si>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</si>
  <si>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</si>
  <si>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</si>
  <si>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</si>
  <si>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</si>
  <si>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</si>
  <si>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</si>
  <si>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</si>
  <si>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</si>
  <si>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</si>
  <si>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</si>
  <si>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</si>
  <si>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</si>
  <si>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</si>
  <si>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</si>
  <si>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</si>
  <si>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</si>
  <si>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</si>
  <si>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</si>
  <si>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</si>
  <si>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</si>
  <si>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</si>
  <si>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</si>
  <si>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</si>
  <si>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</si>
  <si>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</si>
  <si>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</si>
  <si>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</si>
  <si>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</si>
  <si>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</si>
  <si>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</si>
  <si>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</si>
  <si>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</si>
  <si>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</si>
  <si>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</si>
  <si>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</si>
  <si>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</si>
  <si>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</si>
  <si>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</si>
  <si>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</si>
  <si>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</si>
  <si>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</si>
  <si>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</si>
  <si>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</si>
  <si>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</si>
  <si>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</si>
  <si>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</si>
  <si>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</si>
  <si>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</si>
  <si>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</si>
  <si>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</si>
  <si>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</si>
  <si>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</si>
  <si>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</si>
  <si>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</si>
  <si>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</si>
  <si>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</si>
  <si>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</si>
  <si>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</si>
  <si>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</si>
  <si>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</si>
  <si>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</si>
  <si>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</si>
  <si>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</si>
  <si>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</si>
  <si>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</si>
  <si>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</si>
  <si>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</si>
  <si>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</si>
  <si>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</si>
  <si>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</si>
  <si>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</si>
  <si>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</si>
  <si>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</si>
  <si>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</si>
  <si>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</si>
  <si>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</si>
  <si>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</si>
  <si>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</si>
  <si>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</si>
  <si>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</si>
  <si>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</si>
  <si>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</si>
  <si>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</si>
  <si>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</si>
  <si>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</si>
  <si>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</si>
  <si>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</si>
  <si>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</si>
  <si>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</si>
  <si>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</si>
  <si>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</si>
  <si>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</si>
  <si>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</si>
  <si>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</si>
  <si>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</si>
  <si>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</si>
  <si>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</si>
  <si>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</si>
  <si>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</si>
  <si>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</si>
  <si>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</si>
  <si>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</si>
  <si>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</si>
  <si>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</si>
  <si>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</si>
  <si>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</si>
  <si>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</si>
  <si>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</si>
  <si>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</si>
  <si>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</si>
  <si>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</si>
  <si>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</si>
  <si>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</si>
  <si>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</si>
  <si>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</si>
  <si>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</si>
  <si>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</si>
  <si>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</si>
  <si>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</si>
  <si>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</si>
  <si>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</si>
  <si>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</si>
  <si>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</si>
  <si>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</si>
  <si>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</si>
  <si>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</si>
  <si>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</si>
  <si>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</si>
  <si>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</si>
  <si>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</si>
  <si>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</si>
  <si>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</si>
  <si>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</si>
  <si>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</si>
  <si>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</si>
  <si>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</si>
  <si>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</si>
  <si>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</si>
  <si>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</si>
  <si>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</si>
  <si>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</si>
  <si>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</si>
  <si>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</si>
  <si>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</si>
  <si>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</si>
  <si>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</si>
  <si>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</si>
  <si>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</si>
  <si>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</si>
  <si>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</si>
  <si>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</si>
  <si>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</si>
  <si>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</si>
  <si>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</si>
  <si>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</si>
  <si>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</si>
  <si>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</si>
  <si>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</si>
  <si>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</si>
  <si>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</si>
  <si>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</si>
  <si>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</si>
  <si>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</si>
  <si>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</si>
  <si>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</si>
  <si>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</si>
  <si>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</si>
  <si>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</si>
  <si>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</si>
  <si>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</si>
  <si>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</si>
  <si>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</si>
  <si>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</si>
  <si>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</si>
  <si>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</si>
  <si>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</si>
  <si>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</si>
  <si>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</si>
  <si>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</si>
  <si>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</si>
  <si>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</si>
  <si>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</si>
  <si>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</si>
  <si>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</si>
  <si>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</si>
  <si>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</si>
  <si>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</si>
  <si>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</si>
  <si>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</si>
  <si>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</si>
  <si>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</si>
  <si>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</si>
  <si>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</si>
  <si>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</si>
  <si>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</si>
  <si>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</si>
  <si>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</si>
  <si>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</si>
  <si>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</si>
  <si>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</si>
  <si>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</si>
  <si>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</si>
  <si>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</si>
  <si>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</si>
  <si>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</si>
  <si>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</si>
  <si>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</si>
  <si>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</si>
  <si>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</si>
  <si>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</si>
  <si>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</si>
  <si>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</si>
  <si>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</si>
  <si>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</si>
  <si>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</si>
  <si>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</si>
  <si>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</si>
  <si>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</si>
  <si>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</si>
  <si>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</si>
  <si>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</si>
  <si>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</si>
  <si>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</si>
  <si>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</si>
  <si>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</si>
  <si>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</si>
  <si>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</si>
  <si>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</si>
  <si>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</si>
  <si>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</si>
  <si>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</si>
  <si>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</si>
  <si>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</si>
  <si>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</si>
  <si>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</si>
  <si>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</si>
  <si>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</si>
  <si>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</si>
  <si>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</si>
  <si>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</si>
  <si>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</si>
  <si>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</si>
  <si>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</si>
  <si>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</si>
  <si>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</si>
  <si>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</si>
  <si>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</si>
  <si>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</si>
  <si>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</si>
  <si>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</si>
  <si>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</si>
  <si>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</si>
  <si>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</si>
  <si>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</si>
  <si>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</si>
  <si>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</si>
  <si>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</si>
  <si>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</si>
  <si>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</si>
  <si>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</si>
  <si>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</si>
  <si>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</si>
  <si>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</si>
  <si>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</si>
  <si>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</si>
  <si>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</si>
  <si>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</si>
  <si>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</si>
  <si>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</si>
  <si>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</si>
  <si>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</si>
  <si>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</si>
  <si>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</si>
  <si>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</si>
  <si>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</si>
  <si>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</si>
  <si>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</si>
  <si>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</si>
  <si>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</si>
  <si>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</si>
  <si>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</si>
  <si>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</si>
  <si>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</si>
  <si>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</si>
  <si>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</si>
  <si>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</si>
  <si>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</si>
  <si>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</si>
  <si>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</si>
  <si>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</si>
  <si>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</si>
  <si>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</si>
  <si>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</si>
  <si>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</si>
  <si>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</si>
  <si>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</si>
  <si>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</si>
  <si>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</si>
  <si>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</si>
  <si>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</si>
  <si>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</si>
  <si>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</si>
  <si>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</si>
  <si>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</si>
  <si>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</si>
  <si>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</si>
  <si>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</si>
  <si>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</si>
  <si>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</si>
  <si>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</si>
  <si>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</si>
  <si>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</si>
  <si>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</si>
  <si>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</si>
  <si>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</si>
  <si>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</si>
  <si>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</si>
  <si>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</si>
  <si>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</si>
  <si>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</si>
  <si>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</si>
  <si>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</si>
  <si>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</si>
  <si>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</si>
  <si>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</si>
  <si>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</si>
  <si>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</si>
  <si>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</si>
  <si>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</si>
  <si>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</si>
  <si>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</si>
  <si>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</si>
  <si>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</si>
  <si>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</si>
  <si>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</si>
  <si>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</si>
  <si>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</si>
  <si>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</si>
  <si>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</si>
  <si>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</si>
  <si>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</si>
  <si>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</si>
  <si>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</si>
  <si>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</si>
  <si>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</si>
  <si>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</si>
  <si>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</si>
  <si>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</si>
  <si>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</si>
  <si>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</si>
  <si>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</si>
  <si>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</si>
  <si>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</si>
  <si>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</si>
  <si>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</si>
  <si>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</si>
  <si>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</si>
  <si>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</si>
  <si>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</si>
  <si>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</si>
  <si>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</si>
  <si>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</si>
  <si>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</si>
  <si>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</si>
  <si>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</si>
  <si>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</si>
  <si>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</si>
  <si>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</si>
  <si>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</si>
  <si>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</si>
  <si>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</si>
  <si>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</si>
  <si>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</si>
  <si>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</si>
  <si>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</si>
  <si>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</si>
  <si>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</si>
  <si>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</si>
  <si>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</si>
  <si>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</si>
  <si>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</si>
  <si>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</si>
  <si>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</si>
  <si>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</si>
  <si>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</si>
  <si>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</si>
  <si>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</si>
  <si>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</si>
  <si>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</si>
  <si>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</si>
  <si>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</si>
  <si>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</si>
  <si>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</si>
  <si>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</si>
  <si>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</si>
  <si>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</si>
  <si>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</si>
  <si>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</si>
  <si>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</si>
  <si>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</si>
  <si>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</si>
  <si>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</si>
  <si>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</si>
  <si>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</si>
  <si>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</si>
  <si>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</si>
  <si>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</si>
  <si>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</si>
  <si>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</si>
  <si>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</si>
  <si>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</si>
  <si>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</si>
  <si>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</si>
  <si>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</si>
  <si>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</si>
  <si>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</si>
  <si>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</si>
  <si>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</si>
  <si>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</si>
  <si>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</si>
  <si>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</si>
  <si>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</si>
  <si>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</si>
  <si>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</si>
  <si>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</si>
  <si>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</si>
  <si>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</si>
  <si>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</si>
  <si>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</si>
  <si>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</si>
  <si>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</si>
  <si>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</si>
  <si>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</si>
  <si>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</si>
  <si>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</si>
  <si>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</si>
  <si>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</si>
  <si>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</si>
  <si>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</si>
  <si>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</si>
  <si>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</si>
  <si>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</si>
  <si>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</si>
  <si>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</si>
  <si>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</si>
  <si>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</si>
  <si>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</si>
  <si>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</si>
  <si>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</si>
  <si>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</si>
  <si>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</si>
  <si>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</si>
  <si>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</si>
  <si>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</si>
  <si>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</si>
  <si>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</si>
  <si>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</si>
  <si>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</si>
  <si>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</si>
  <si>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</si>
  <si>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</si>
  <si>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</si>
  <si>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</si>
  <si>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</si>
  <si>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</si>
  <si>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</si>
  <si>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</si>
  <si>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</si>
  <si>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</si>
  <si>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</si>
  <si>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</si>
  <si>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</si>
  <si>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</si>
  <si>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</si>
  <si>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</si>
  <si>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</si>
  <si>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</si>
  <si>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</si>
  <si>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</si>
  <si>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</si>
  <si>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</si>
  <si>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</si>
  <si>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</si>
  <si>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</si>
  <si>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</si>
  <si>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</si>
  <si>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</si>
  <si>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</si>
  <si>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</si>
  <si>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</si>
  <si>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</si>
  <si>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</si>
  <si>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</si>
  <si>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</si>
  <si>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</si>
  <si>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</si>
  <si>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</si>
  <si>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</si>
  <si>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</si>
  <si>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</si>
  <si>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</si>
  <si>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</si>
  <si>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</si>
  <si>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</si>
  <si>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</si>
  <si>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</si>
  <si>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</si>
  <si>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</si>
  <si>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</si>
  <si>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</si>
  <si>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</si>
  <si>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</si>
  <si>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</si>
  <si>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</si>
  <si>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</si>
  <si>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</si>
  <si>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</si>
  <si>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</si>
  <si>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</si>
  <si>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</si>
  <si>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</si>
  <si>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</si>
  <si>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</si>
  <si>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</si>
  <si>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</si>
  <si>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</si>
  <si>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</si>
  <si>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</si>
  <si>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</si>
  <si>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</si>
  <si>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</si>
  <si>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</si>
  <si>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</si>
  <si>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</si>
  <si>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</si>
  <si>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</si>
  <si>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</si>
  <si>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</si>
  <si>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</si>
  <si>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</si>
  <si>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</si>
  <si>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</si>
  <si>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</si>
  <si>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</si>
  <si>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</si>
  <si>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</si>
  <si>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</si>
  <si>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</si>
  <si>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</si>
  <si>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</si>
  <si>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</si>
  <si>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</si>
  <si>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</si>
  <si>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</si>
  <si>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</si>
  <si>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</si>
  <si>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</si>
  <si>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</si>
  <si>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</si>
  <si>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</si>
  <si>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</si>
  <si>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</si>
  <si>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</si>
  <si>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</si>
  <si>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</si>
  <si>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</si>
  <si>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</si>
  <si>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</si>
  <si>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</si>
  <si>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</si>
  <si>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</si>
  <si>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</si>
  <si>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</si>
  <si>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</si>
  <si>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</si>
  <si>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</si>
  <si>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</si>
  <si>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</si>
  <si>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</si>
  <si>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</si>
  <si>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</si>
  <si>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</si>
  <si>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</si>
  <si>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</si>
  <si>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</si>
  <si>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</si>
  <si>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</si>
  <si>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</si>
  <si>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</si>
  <si>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</si>
  <si>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</si>
  <si>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</si>
  <si>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</si>
  <si>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</si>
  <si>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</si>
  <si>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</si>
  <si>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</si>
  <si>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</si>
  <si>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</si>
  <si>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</si>
  <si>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</si>
  <si>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</si>
  <si>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</si>
  <si>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</si>
  <si>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</si>
  <si>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</si>
  <si>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</si>
  <si>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</si>
  <si>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</si>
  <si>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</si>
  <si>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</si>
  <si>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</si>
  <si>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</si>
  <si>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</si>
  <si>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</si>
  <si>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</si>
  <si>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</si>
  <si>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</si>
  <si>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</si>
  <si>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</si>
  <si>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</si>
  <si>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</si>
  <si>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</si>
  <si>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</si>
  <si>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</si>
  <si>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</si>
  <si>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</si>
  <si>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</si>
  <si>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</si>
  <si>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</si>
  <si>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</si>
  <si>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</si>
  <si>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</si>
  <si>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</si>
  <si>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</si>
  <si>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</si>
  <si>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</si>
  <si>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</si>
  <si>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</si>
  <si>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</si>
  <si>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</si>
  <si>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</si>
  <si>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</si>
  <si>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</si>
  <si>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</si>
  <si>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</si>
  <si>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</si>
  <si>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</si>
  <si>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</si>
  <si>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</si>
  <si>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</si>
  <si>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</si>
  <si>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</si>
  <si>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</si>
  <si>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</si>
  <si>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</si>
  <si>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</si>
  <si>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</si>
  <si>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</si>
  <si>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</si>
  <si>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</si>
  <si>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</si>
  <si>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</si>
  <si>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</si>
  <si>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</si>
  <si>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</si>
  <si>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</si>
  <si>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</si>
  <si>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</si>
  <si>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</si>
  <si>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</si>
  <si>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</si>
  <si>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</si>
  <si>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</si>
  <si>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</si>
  <si>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</si>
  <si>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</si>
  <si>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</si>
  <si>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</si>
  <si>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</si>
  <si>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</si>
  <si>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</si>
  <si>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</si>
  <si>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</si>
  <si>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</si>
  <si>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</si>
  <si>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</si>
  <si>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</si>
  <si>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</si>
  <si>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</si>
  <si>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</si>
  <si>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</si>
  <si>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</si>
  <si>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</si>
  <si>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</si>
  <si>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</si>
  <si>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</si>
  <si>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</si>
  <si>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</si>
  <si>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</si>
  <si>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</si>
  <si>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</si>
  <si>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</si>
  <si>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</si>
  <si>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</si>
  <si>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</si>
  <si>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</si>
  <si>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</si>
  <si>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</si>
  <si>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</si>
  <si>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</si>
  <si>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</si>
  <si>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</si>
  <si>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</si>
  <si>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</si>
  <si>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</si>
  <si>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</si>
  <si>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</si>
  <si>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</si>
  <si>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</si>
  <si>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</si>
  <si>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</si>
  <si>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</si>
  <si>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</si>
  <si>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</si>
  <si>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</si>
  <si>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</si>
  <si>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</si>
  <si>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</si>
  <si>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</si>
  <si>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</si>
  <si>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</si>
  <si>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</si>
  <si>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</si>
  <si>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</si>
  <si>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</si>
  <si>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</si>
  <si>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</si>
  <si>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</si>
  <si>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</si>
  <si>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</si>
  <si>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</si>
  <si>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</si>
  <si>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</si>
  <si>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</si>
  <si>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</si>
  <si>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</si>
  <si>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</si>
  <si>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</si>
  <si>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</si>
  <si>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</si>
  <si>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</si>
  <si>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</si>
  <si>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</si>
  <si>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</si>
  <si>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</si>
  <si>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</si>
  <si>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</si>
  <si>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</si>
  <si>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</si>
  <si>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</si>
  <si>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</si>
  <si>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</si>
  <si>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</si>
  <si>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</si>
  <si>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</si>
  <si>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</si>
  <si>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</si>
  <si>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</si>
  <si>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</si>
  <si>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</si>
  <si>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</si>
  <si>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</si>
  <si>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</si>
  <si>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</si>
  <si>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</si>
  <si>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</si>
  <si>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</si>
  <si>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</si>
  <si>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</si>
  <si>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</si>
  <si>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</si>
  <si>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</si>
  <si>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</si>
  <si>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</si>
  <si>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</si>
  <si>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</si>
  <si>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</si>
  <si>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</si>
  <si>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</si>
  <si>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</si>
  <si>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</si>
  <si>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</si>
  <si>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</si>
  <si>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</si>
  <si>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</si>
  <si>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</si>
  <si>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</si>
  <si>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</si>
  <si>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</si>
  <si>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</si>
  <si>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</si>
  <si>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</si>
  <si>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</si>
  <si>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</si>
  <si>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</si>
  <si>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</si>
  <si>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</si>
  <si>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</si>
  <si>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</si>
  <si>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</si>
  <si>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</si>
  <si>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</si>
  <si>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</si>
  <si>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</si>
  <si>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</si>
  <si>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</si>
  <si>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</si>
  <si>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</si>
  <si>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</si>
  <si>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</si>
  <si>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</si>
  <si>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</si>
  <si>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</si>
  <si>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</si>
  <si>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</si>
  <si>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</si>
  <si>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</si>
  <si>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</si>
  <si>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</si>
  <si>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</si>
  <si>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</si>
  <si>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</si>
  <si>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</si>
  <si>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</si>
  <si>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</si>
  <si>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</si>
  <si>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</si>
  <si>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</si>
  <si>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</si>
  <si>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</si>
  <si>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</si>
  <si>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</si>
  <si>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</si>
  <si>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</si>
  <si>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</si>
  <si>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</si>
  <si>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</si>
  <si>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</si>
  <si>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</si>
  <si>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</si>
  <si>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</si>
  <si>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</si>
  <si>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</si>
  <si>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</si>
  <si>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</si>
  <si>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</si>
  <si>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</si>
  <si>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</si>
  <si>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</si>
  <si>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</si>
  <si>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</si>
  <si>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</si>
  <si>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</si>
  <si>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</si>
  <si>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</si>
  <si>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</si>
  <si>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</si>
  <si>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</si>
  <si>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</si>
  <si>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</si>
  <si>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</si>
  <si>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</si>
  <si>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</si>
  <si>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</si>
  <si>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</si>
  <si>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</si>
  <si>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</si>
  <si>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</si>
  <si>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</si>
  <si>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</si>
  <si>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</si>
  <si>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</si>
  <si>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</si>
  <si>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</si>
  <si>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</si>
  <si>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</si>
  <si>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</si>
  <si>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</si>
  <si>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</si>
  <si>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</si>
  <si>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</si>
  <si>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</si>
  <si>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</si>
  <si>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</si>
  <si>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</si>
  <si>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</si>
  <si>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</si>
  <si>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</si>
  <si>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</si>
  <si>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</si>
  <si>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</si>
  <si>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</si>
  <si>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</si>
  <si>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</si>
  <si>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</si>
  <si>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</si>
  <si>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</si>
  <si>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</si>
  <si>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</si>
  <si>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</si>
  <si>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</si>
  <si>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</si>
  <si>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</si>
  <si>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</si>
  <si>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</si>
  <si>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</si>
  <si>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</si>
  <si>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</si>
  <si>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</si>
  <si>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</si>
  <si>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</si>
  <si>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</si>
  <si>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</si>
  <si>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</si>
  <si>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</si>
  <si>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</si>
  <si>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</si>
  <si>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</si>
  <si>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</si>
  <si>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</si>
  <si>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</si>
  <si>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</si>
  <si>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</si>
  <si>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</si>
  <si>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</si>
  <si>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</si>
  <si>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</si>
  <si>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</si>
  <si>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</si>
  <si>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</si>
  <si>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</si>
  <si>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</si>
  <si>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</si>
  <si>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</si>
  <si>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</si>
  <si>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</si>
  <si>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</si>
  <si>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</si>
  <si>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</si>
  <si>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</si>
  <si>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</si>
  <si>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</si>
  <si>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</si>
  <si>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</si>
  <si>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</si>
  <si>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</si>
  <si>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</si>
  <si>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</si>
  <si>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</si>
  <si>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</si>
  <si>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</si>
  <si>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</si>
  <si>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</si>
  <si>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</si>
  <si>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</si>
  <si>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</si>
  <si>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</si>
  <si>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</si>
  <si>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</si>
  <si>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</si>
  <si>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</si>
  <si>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</si>
  <si>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</si>
  <si>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</si>
  <si>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</si>
  <si>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</si>
  <si>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</si>
  <si>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</si>
  <si>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</si>
  <si>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</si>
  <si>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</si>
  <si>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</si>
  <si>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</si>
  <si>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</si>
  <si>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</si>
  <si>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</si>
  <si>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</si>
  <si>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</si>
  <si>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</si>
  <si>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</si>
  <si>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</si>
  <si>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</si>
  <si>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</si>
  <si>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</si>
  <si>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</si>
  <si>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</si>
  <si>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</si>
  <si>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</si>
  <si>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</si>
  <si>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</si>
  <si>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</si>
  <si>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</si>
  <si>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</si>
  <si>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</si>
  <si>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</si>
  <si>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</si>
  <si>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</si>
  <si>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</si>
  <si>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</si>
  <si>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</si>
  <si>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</si>
  <si>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</si>
  <si>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</si>
  <si>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</si>
  <si>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</si>
  <si>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</si>
  <si>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</si>
  <si>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</si>
  <si>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</si>
  <si>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</si>
  <si>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</si>
  <si>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</si>
  <si>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</si>
  <si>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</si>
  <si>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</si>
  <si>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</si>
  <si>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</si>
  <si>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</si>
  <si>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</si>
  <si>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</si>
  <si>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</si>
  <si>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</si>
  <si>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</si>
  <si>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</si>
  <si>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</si>
  <si>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</si>
  <si>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</si>
  <si>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</si>
  <si>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</si>
  <si>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</si>
  <si>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</si>
  <si>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</si>
  <si>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</si>
  <si>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</si>
  <si>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</si>
  <si>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</si>
  <si>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</si>
  <si>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</si>
  <si>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</si>
  <si>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</si>
  <si>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</si>
  <si>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</si>
  <si>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</si>
  <si>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</si>
  <si>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</si>
  <si>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</si>
  <si>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</si>
  <si>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</si>
  <si>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</si>
  <si>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</si>
  <si>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</si>
  <si>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</si>
  <si>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</si>
  <si>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</si>
  <si>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</si>
  <si>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</si>
  <si>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</si>
  <si>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</si>
  <si>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</si>
  <si>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</si>
  <si>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</si>
  <si>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</si>
  <si>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</si>
  <si>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</si>
  <si>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</si>
  <si>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</si>
  <si>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</si>
  <si>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</si>
  <si>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</si>
  <si>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</si>
  <si>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</si>
  <si>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</si>
  <si>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</si>
  <si>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</si>
  <si>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</si>
  <si>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</si>
  <si>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</si>
  <si>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</si>
  <si>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</si>
  <si>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</si>
  <si>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</si>
  <si>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</si>
  <si>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</si>
  <si>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</si>
  <si>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</si>
  <si>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</si>
  <si>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</si>
  <si>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</si>
  <si>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</si>
  <si>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</si>
  <si>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</si>
  <si>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</si>
  <si>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</si>
  <si>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</si>
  <si>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</si>
  <si>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</si>
  <si>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</si>
  <si>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</si>
  <si>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</si>
  <si>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</si>
  <si>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</si>
  <si>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</si>
  <si>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</si>
  <si>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</si>
  <si>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</si>
  <si>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</si>
  <si>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</si>
  <si>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</si>
  <si>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</si>
  <si>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</si>
  <si>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</si>
  <si>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</si>
  <si>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</si>
  <si>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</si>
  <si>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</si>
  <si>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</si>
  <si>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</si>
  <si>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</si>
  <si>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</si>
  <si>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</si>
  <si>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</si>
  <si>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</si>
  <si>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</si>
  <si>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</si>
  <si>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</si>
  <si>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</si>
  <si>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</si>
  <si>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</si>
  <si>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</si>
  <si>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</si>
  <si>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</si>
  <si>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</si>
  <si>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</si>
  <si>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</si>
  <si>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</si>
  <si>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</si>
  <si>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</si>
  <si>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</si>
  <si>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</si>
  <si>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</si>
  <si>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</si>
  <si>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</si>
  <si>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</si>
  <si>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</si>
  <si>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</si>
  <si>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</si>
  <si>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</si>
  <si>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</si>
  <si>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</si>
  <si>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</si>
  <si>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</si>
  <si>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</si>
  <si>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</si>
  <si>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</si>
  <si>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</si>
  <si>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</si>
  <si>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</si>
  <si>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</si>
  <si>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</si>
  <si>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</si>
  <si>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</si>
  <si>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</si>
  <si>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</si>
  <si>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</si>
  <si>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</si>
  <si>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</si>
  <si>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</si>
  <si>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</si>
  <si>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</si>
  <si>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</si>
  <si>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</si>
  <si>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</si>
  <si>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</si>
  <si>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</si>
  <si>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</si>
  <si>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</si>
  <si>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</si>
  <si>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</si>
  <si>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</si>
  <si>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</si>
  <si>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</si>
  <si>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</si>
  <si>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</si>
  <si>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</si>
  <si>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</si>
  <si>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</si>
  <si>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</si>
  <si>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</si>
  <si>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</si>
  <si>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</si>
  <si>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</si>
  <si>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</si>
  <si>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</si>
  <si>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</si>
  <si>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</si>
  <si>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</si>
  <si>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</si>
  <si>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</si>
  <si>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</si>
  <si>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</si>
  <si>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</si>
  <si>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</si>
  <si>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</si>
  <si>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</si>
  <si>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</si>
  <si>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</si>
  <si>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</si>
  <si>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</si>
  <si>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</si>
  <si>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</si>
  <si>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</si>
  <si>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</si>
  <si>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</si>
  <si>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</si>
  <si>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</si>
  <si>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</si>
  <si>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</si>
  <si>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</si>
  <si>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</si>
  <si>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</si>
  <si>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</si>
  <si>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</si>
  <si>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</si>
  <si>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</si>
  <si>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</si>
  <si>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</si>
  <si>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</si>
  <si>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</si>
  <si>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</si>
  <si>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</si>
  <si>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</si>
  <si>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</si>
  <si>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</si>
  <si>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</si>
  <si>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</si>
  <si>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</si>
  <si>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</si>
  <si>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</si>
  <si>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</si>
  <si>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</si>
  <si>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</si>
  <si>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</si>
  <si>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</si>
  <si>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</si>
  <si>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</si>
  <si>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</si>
  <si>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</si>
  <si>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</si>
  <si>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</si>
  <si>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</si>
  <si>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</si>
  <si>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</si>
  <si>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</si>
  <si>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</si>
  <si>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</si>
  <si>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</si>
  <si>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</si>
  <si>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</si>
  <si>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</si>
  <si>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</si>
  <si>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</si>
  <si>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</si>
  <si>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</si>
  <si>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</si>
  <si>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</si>
  <si>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</si>
  <si>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</si>
  <si>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</si>
  <si>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</si>
  <si>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</si>
  <si>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</si>
  <si>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</si>
  <si>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</si>
  <si>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</si>
  <si>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</si>
  <si>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</si>
  <si>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</si>
  <si>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</si>
  <si>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</si>
  <si>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</si>
  <si>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</si>
  <si>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</si>
  <si>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</si>
  <si>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</si>
  <si>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</si>
  <si>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</si>
  <si>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</si>
  <si>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</si>
  <si>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</si>
  <si>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</si>
  <si>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</si>
  <si>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</si>
  <si>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</si>
  <si>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</si>
  <si>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</si>
  <si>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</si>
  <si>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</si>
  <si>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</si>
  <si>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</si>
  <si>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</si>
  <si>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</si>
  <si>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</si>
  <si>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</si>
  <si>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</si>
  <si>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</si>
  <si>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</si>
  <si>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</si>
  <si>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</si>
  <si>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</si>
  <si>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</si>
  <si>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</si>
  <si>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</si>
  <si>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</si>
  <si>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</si>
  <si>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</si>
  <si>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</si>
  <si>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</si>
  <si>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</si>
  <si>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</si>
  <si>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</si>
  <si>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</si>
  <si>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</si>
  <si>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</si>
  <si>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</si>
  <si>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</si>
  <si>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</si>
  <si>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</si>
  <si>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</si>
  <si>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</si>
  <si>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</si>
  <si>
    <t>Logo</t>
  </si>
  <si>
    <t>Color Scheme</t>
  </si>
  <si>
    <t>#9FBFAD</t>
  </si>
  <si>
    <t>#748C76</t>
  </si>
  <si>
    <t>#505947</t>
  </si>
  <si>
    <t>#BF7F5A</t>
  </si>
  <si>
    <t>#BF3939</t>
  </si>
  <si>
    <t>#4887E6</t>
  </si>
  <si>
    <t>Accent 1</t>
  </si>
  <si>
    <t>Accent 2</t>
  </si>
  <si>
    <t>Accent 3</t>
  </si>
  <si>
    <t>Accent 4</t>
  </si>
  <si>
    <t>Accent 5</t>
  </si>
  <si>
    <t>Accent 6</t>
  </si>
  <si>
    <t>Emojis</t>
  </si>
  <si>
    <t>🛒</t>
  </si>
  <si>
    <t>👕</t>
  </si>
  <si>
    <t>💰</t>
  </si>
  <si>
    <t>⭐</t>
  </si>
  <si>
    <t>📅</t>
  </si>
  <si>
    <t>Orders</t>
  </si>
  <si>
    <t>Rating</t>
  </si>
  <si>
    <t>Days to deliver</t>
  </si>
  <si>
    <t>Format Codes</t>
  </si>
  <si>
    <t>#,##</t>
  </si>
  <si>
    <t>value with thousand's seperator</t>
  </si>
  <si>
    <t>$#,##,.0k</t>
  </si>
  <si>
    <t>Amount in thousands with one decimal</t>
  </si>
  <si>
    <t>0.0</t>
  </si>
  <si>
    <t>Other numbers</t>
  </si>
  <si>
    <t>Resouces:</t>
  </si>
  <si>
    <t>Excel Dashboard Tutorial Video</t>
  </si>
  <si>
    <t>Adv. Excel Dashboards Course by Chandoo</t>
  </si>
  <si>
    <t>You will get the full workbook in the course!</t>
  </si>
  <si>
    <t>Count of TX ID</t>
  </si>
  <si>
    <t>Sum of Quantity</t>
  </si>
  <si>
    <t>Sum of Amount</t>
  </si>
  <si>
    <t>Row Labels</t>
  </si>
  <si>
    <t>Grand Total</t>
  </si>
  <si>
    <t>Average of Rating C</t>
  </si>
  <si>
    <t>Average of Days to Deliver</t>
  </si>
  <si>
    <t>Values for Display</t>
  </si>
  <si>
    <t>Qty</t>
  </si>
  <si>
    <t>Avg. Day</t>
  </si>
  <si>
    <t>Column Labels</t>
  </si>
  <si>
    <t>Female</t>
  </si>
  <si>
    <t>Male</t>
  </si>
  <si>
    <t>Other</t>
  </si>
  <si>
    <t>Unknown</t>
  </si>
  <si>
    <t>For matrix</t>
  </si>
  <si>
    <t>Group1</t>
  </si>
  <si>
    <t>More than 10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</si>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</sst>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₹&quot;\ #,##0"/>
    <numFmt numFmtId="166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quotePrefix="1"/>
    <xf numFmtId="0" fontId="3" fillId="0" borderId="0" xfId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0" fontId="0" fillId="0" borderId="0" xfId="0" applyNumberFormat="1"/>
    <xf numFmtId="0" fontId="0" fillId="0" borderId="0" xfId="0" applyBorder="1"/>
    <xf numFmtId="166" fontId="0" fillId="0" borderId="0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[ecommerce-blank.xlsx]Sheet2!PivotTable4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Sheet2!$B$11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Sheet2!$A$12:$A$25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Sheet2!$B$12:$B$25</c:f>
              <c:numCache>
                <c:formatCode>General</c:formatCode>
                <c:ptCount val="13"/>
                <c:pt idx="0">
                  <c:v>546</c:v>
                </c:pt>
                <c:pt idx="1">
                  <c:v>905</c:v>
                </c:pt>
                <c:pt idx="2">
                  <c:v>796</c:v>
                </c:pt>
                <c:pt idx="3">
                  <c:v>913</c:v>
                </c:pt>
                <c:pt idx="4">
                  <c:v>844</c:v>
                </c:pt>
                <c:pt idx="5">
                  <c:v>1202</c:v>
                </c:pt>
                <c:pt idx="6">
                  <c:v>935</c:v>
                </c:pt>
                <c:pt idx="7">
                  <c:v>1128</c:v>
                </c:pt>
                <c:pt idx="8">
                  <c:v>1007</c:v>
                </c:pt>
                <c:pt idx="9">
                  <c:v>1128</c:v>
                </c:pt>
                <c:pt idx="10">
                  <c:v>861</c:v>
                </c:pt>
                <c:pt idx="11">
                  <c:v>944</c:v>
                </c:pt>
                <c:pt idx="12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4F-4FA7-817B-A12EFD5CE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7367151"/>
        <c:axId val="737364751"/>
      </c:lineChart>
      <c:lineChart>
        <c:grouping val="standard"/>
        <c:varyColors val="0"/>
        <c:ser>
          <c:idx val="1"/>
          <c:order val="1"/>
          <c:tx>
            <c:strRef>
              <c:f>Sheet2!$C$11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Sheet2!$A$12:$A$25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Sheet2!$C$12:$C$25</c:f>
              <c:numCache>
                <c:formatCode>"₹"\ #,##0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4F-4FA7-817B-A12EFD5CE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911935"/>
        <c:axId val="424912895"/>
      </c:lineChart>
      <c:catAx>
        <c:axId val="73736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64751"/>
        <c:crosses val="autoZero"/>
        <c:auto val="1"/>
        <c:lblAlgn val="ctr"/>
        <c:lblOffset val="100"/>
        <c:noMultiLvlLbl val="0"/>
      </c:catAx>
      <c:valAx>
        <c:axId val="73736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67151"/>
        <c:crosses val="autoZero"/>
        <c:crossBetween val="between"/>
      </c:valAx>
      <c:valAx>
        <c:axId val="424912895"/>
        <c:scaling>
          <c:orientation val="minMax"/>
        </c:scaling>
        <c:delete val="0"/>
        <c:axPos val="r"/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11935"/>
        <c:crosses val="max"/>
        <c:crossBetween val="between"/>
      </c:valAx>
      <c:catAx>
        <c:axId val="4249119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491289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[ecommerce-blank.xlsx]Sheet6!PivotTable6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Sheet6!$A$4:$A$11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Group1</c:v>
                </c:pt>
                <c:pt idx="6">
                  <c:v>More than 10</c:v>
                </c:pt>
              </c:strCache>
            </c:strRef>
          </c:cat>
          <c:val>
            <c:numRef>
              <c:f>Sheet6!$B$4:$B$11</c:f>
              <c:numCache>
                <c:formatCode>General</c:formatCode>
                <c:ptCount val="7"/>
                <c:pt idx="0">
                  <c:v>397</c:v>
                </c:pt>
                <c:pt idx="1">
                  <c:v>540</c:v>
                </c:pt>
                <c:pt idx="2">
                  <c:v>375</c:v>
                </c:pt>
                <c:pt idx="3">
                  <c:v>246</c:v>
                </c:pt>
                <c:pt idx="4">
                  <c:v>195</c:v>
                </c:pt>
                <c:pt idx="5">
                  <c:v>414</c:v>
                </c:pt>
                <c:pt idx="6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9-48AD-AF4F-454FDB0F34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4910015"/>
        <c:axId val="2132233039"/>
      </c:barChart>
      <c:catAx>
        <c:axId val="42491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233039"/>
        <c:crosses val="autoZero"/>
        <c:auto val="1"/>
        <c:lblAlgn val="ctr"/>
        <c:lblOffset val="100"/>
        <c:noMultiLvlLbl val="0"/>
      </c:catAx>
      <c:valAx>
        <c:axId val="2132233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1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[ecommerce-blank.xlsx]Sheet7!PivotTable7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Sheet7!$A$5:$A$25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Sheet7!$B$5:$B$25</c:f>
              <c:numCache>
                <c:formatCode>General</c:formatCode>
                <c:ptCount val="20"/>
                <c:pt idx="0">
                  <c:v>744</c:v>
                </c:pt>
                <c:pt idx="1">
                  <c:v>716</c:v>
                </c:pt>
                <c:pt idx="2">
                  <c:v>627</c:v>
                </c:pt>
                <c:pt idx="3">
                  <c:v>568</c:v>
                </c:pt>
                <c:pt idx="4">
                  <c:v>482</c:v>
                </c:pt>
                <c:pt idx="5">
                  <c:v>428</c:v>
                </c:pt>
                <c:pt idx="6">
                  <c:v>445</c:v>
                </c:pt>
                <c:pt idx="7">
                  <c:v>431</c:v>
                </c:pt>
                <c:pt idx="8">
                  <c:v>264</c:v>
                </c:pt>
                <c:pt idx="9">
                  <c:v>296</c:v>
                </c:pt>
                <c:pt idx="10">
                  <c:v>153</c:v>
                </c:pt>
                <c:pt idx="11">
                  <c:v>189</c:v>
                </c:pt>
                <c:pt idx="12">
                  <c:v>234</c:v>
                </c:pt>
                <c:pt idx="13">
                  <c:v>146</c:v>
                </c:pt>
                <c:pt idx="14">
                  <c:v>127</c:v>
                </c:pt>
                <c:pt idx="15">
                  <c:v>179</c:v>
                </c:pt>
                <c:pt idx="16">
                  <c:v>99</c:v>
                </c:pt>
                <c:pt idx="17">
                  <c:v>75</c:v>
                </c:pt>
                <c:pt idx="18">
                  <c:v>43</c:v>
                </c:pt>
                <c:pt idx="1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8-458B-A596-E655D91F5C17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Sheet7!$A$5:$A$25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Sheet7!$C$5:$C$25</c:f>
              <c:numCache>
                <c:formatCode>General</c:formatCode>
                <c:ptCount val="20"/>
                <c:pt idx="0">
                  <c:v>713</c:v>
                </c:pt>
                <c:pt idx="1">
                  <c:v>598</c:v>
                </c:pt>
                <c:pt idx="2">
                  <c:v>393</c:v>
                </c:pt>
                <c:pt idx="3">
                  <c:v>306</c:v>
                </c:pt>
                <c:pt idx="4">
                  <c:v>295</c:v>
                </c:pt>
                <c:pt idx="5">
                  <c:v>293</c:v>
                </c:pt>
                <c:pt idx="6">
                  <c:v>202</c:v>
                </c:pt>
                <c:pt idx="7">
                  <c:v>187</c:v>
                </c:pt>
                <c:pt idx="8">
                  <c:v>318</c:v>
                </c:pt>
                <c:pt idx="9">
                  <c:v>275</c:v>
                </c:pt>
                <c:pt idx="10">
                  <c:v>246</c:v>
                </c:pt>
                <c:pt idx="11">
                  <c:v>168</c:v>
                </c:pt>
                <c:pt idx="12">
                  <c:v>93</c:v>
                </c:pt>
                <c:pt idx="13">
                  <c:v>94</c:v>
                </c:pt>
                <c:pt idx="14">
                  <c:v>118</c:v>
                </c:pt>
                <c:pt idx="15">
                  <c:v>76</c:v>
                </c:pt>
                <c:pt idx="16">
                  <c:v>69</c:v>
                </c:pt>
                <c:pt idx="17">
                  <c:v>103</c:v>
                </c:pt>
                <c:pt idx="18">
                  <c:v>90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88-458B-A596-E655D91F5C17}"/>
            </c:ext>
          </c:extLst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Sheet7!$A$5:$A$25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Sheet7!$D$5:$D$25</c:f>
              <c:numCache>
                <c:formatCode>General</c:formatCode>
                <c:ptCount val="20"/>
                <c:pt idx="0">
                  <c:v>90</c:v>
                </c:pt>
                <c:pt idx="1">
                  <c:v>18</c:v>
                </c:pt>
                <c:pt idx="2">
                  <c:v>29</c:v>
                </c:pt>
                <c:pt idx="3">
                  <c:v>22</c:v>
                </c:pt>
                <c:pt idx="4">
                  <c:v>8</c:v>
                </c:pt>
                <c:pt idx="6">
                  <c:v>14</c:v>
                </c:pt>
                <c:pt idx="7">
                  <c:v>14</c:v>
                </c:pt>
                <c:pt idx="8">
                  <c:v>15</c:v>
                </c:pt>
                <c:pt idx="9">
                  <c:v>9</c:v>
                </c:pt>
                <c:pt idx="10">
                  <c:v>30</c:v>
                </c:pt>
                <c:pt idx="11">
                  <c:v>10</c:v>
                </c:pt>
                <c:pt idx="12">
                  <c:v>19</c:v>
                </c:pt>
                <c:pt idx="13">
                  <c:v>4</c:v>
                </c:pt>
                <c:pt idx="14">
                  <c:v>13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8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88-458B-A596-E655D91F5C17}"/>
            </c:ext>
          </c:extLst>
        </c:ser>
        <c:ser>
          <c:idx val="3"/>
          <c:order val="3"/>
          <c:tx>
            <c:strRef>
              <c:f>Sheet7!$E$3:$E$4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Sheet7!$A$5:$A$25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Sheet7!$E$5:$E$25</c:f>
              <c:numCache>
                <c:formatCode>General</c:formatCode>
                <c:ptCount val="20"/>
                <c:pt idx="0">
                  <c:v>98</c:v>
                </c:pt>
                <c:pt idx="1">
                  <c:v>214</c:v>
                </c:pt>
                <c:pt idx="2">
                  <c:v>137</c:v>
                </c:pt>
                <c:pt idx="3">
                  <c:v>16</c:v>
                </c:pt>
                <c:pt idx="4">
                  <c:v>22</c:v>
                </c:pt>
                <c:pt idx="5">
                  <c:v>24</c:v>
                </c:pt>
                <c:pt idx="6">
                  <c:v>39</c:v>
                </c:pt>
                <c:pt idx="7">
                  <c:v>15</c:v>
                </c:pt>
                <c:pt idx="8">
                  <c:v>9</c:v>
                </c:pt>
                <c:pt idx="9">
                  <c:v>23</c:v>
                </c:pt>
                <c:pt idx="10">
                  <c:v>8</c:v>
                </c:pt>
                <c:pt idx="11">
                  <c:v>31</c:v>
                </c:pt>
                <c:pt idx="12">
                  <c:v>24</c:v>
                </c:pt>
                <c:pt idx="13">
                  <c:v>28</c:v>
                </c:pt>
                <c:pt idx="14">
                  <c:v>12</c:v>
                </c:pt>
                <c:pt idx="16">
                  <c:v>24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88-458B-A596-E655D91F5C1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4033231"/>
        <c:axId val="2124042351"/>
      </c:barChart>
      <c:catAx>
        <c:axId val="212403323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042351"/>
        <c:crosses val="autoZero"/>
        <c:auto val="1"/>
        <c:lblAlgn val="ctr"/>
        <c:lblOffset val="100"/>
        <c:noMultiLvlLbl val="0"/>
      </c:catAx>
      <c:valAx>
        <c:axId val="212404235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03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[ecommerce-blank.xlsx]Sheet7!PivotTable8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923381703861975"/>
          <c:y val="0.29956685947624995"/>
          <c:w val="0.50804108020412275"/>
          <c:h val="0.59408006359153886"/>
        </c:manualLayout>
      </c:layout>
      <c:doughnutChart>
        <c:varyColors val="1"/>
        <c:ser>
          <c:idx val="0"/>
          <c:order val="0"/>
          <c:tx>
            <c:strRef>
              <c:f>Sheet7!$L$3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CA-411A-A9E4-377888CB75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CA-411A-A9E4-377888CB75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CA-411A-A9E4-377888CB75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CA-411A-A9E4-377888CB7561}"/>
              </c:ext>
            </c:extLst>
          </c:dPt>
          <c:cat>
            <c:strRef>
              <c:f>Sheet7!$K$4:$K$8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Sheet7!$L$4:$L$8</c:f>
              <c:numCache>
                <c:formatCode>General</c:formatCode>
                <c:ptCount val="4"/>
                <c:pt idx="0">
                  <c:v>6272</c:v>
                </c:pt>
                <c:pt idx="1">
                  <c:v>4672</c:v>
                </c:pt>
                <c:pt idx="2">
                  <c:v>317</c:v>
                </c:pt>
                <c:pt idx="3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CA-411A-A9E4-377888CB7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[ecommerce-blank.xlsx]Sheet9!PivotTable10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Sheet9!$A$4:$A$19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Sheet9!$B$4:$B$19</c:f>
              <c:numCache>
                <c:formatCode>General</c:formatCode>
                <c:ptCount val="15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2-4804-A040-F32F09037D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30017055"/>
        <c:axId val="730018015"/>
      </c:barChart>
      <c:catAx>
        <c:axId val="73001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18015"/>
        <c:crosses val="autoZero"/>
        <c:auto val="1"/>
        <c:lblAlgn val="ctr"/>
        <c:lblOffset val="100"/>
        <c:noMultiLvlLbl val="0"/>
      </c:catAx>
      <c:valAx>
        <c:axId val="73001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1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[ecommerce-blank.xlsx]Sheet10!PivotTable11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Sheet10!$B$5:$B$8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5-47F5-80D5-50D63B8041F6}"/>
            </c:ext>
          </c:extLst>
        </c:ser>
        <c:ser>
          <c:idx val="1"/>
          <c:order val="1"/>
          <c:tx>
            <c:strRef>
              <c:f>Sheet10!$C$3:$C$4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Sheet10!$A$5:$A$8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Sheet10!$C$5:$C$8</c:f>
              <c:numCache>
                <c:formatCode>General</c:formatCode>
                <c:ptCount val="3"/>
                <c:pt idx="0">
                  <c:v>37</c:v>
                </c:pt>
                <c:pt idx="1">
                  <c:v>51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5-47F5-80D5-50D63B8041F6}"/>
            </c:ext>
          </c:extLst>
        </c:ser>
        <c:ser>
          <c:idx val="2"/>
          <c:order val="2"/>
          <c:tx>
            <c:strRef>
              <c:f>Sheet10!$D$3:$D$4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Sheet10!$A$5:$A$8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Sheet10!$D$5:$D$8</c:f>
              <c:numCache>
                <c:formatCode>General</c:formatCode>
                <c:ptCount val="3"/>
                <c:pt idx="0">
                  <c:v>150</c:v>
                </c:pt>
                <c:pt idx="1">
                  <c:v>182</c:v>
                </c:pt>
                <c:pt idx="2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5-47F5-80D5-50D63B8041F6}"/>
            </c:ext>
          </c:extLst>
        </c:ser>
        <c:ser>
          <c:idx val="3"/>
          <c:order val="3"/>
          <c:tx>
            <c:strRef>
              <c:f>Sheet10!$E$3:$E$4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Sheet10!$A$5:$A$8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Sheet10!$E$5:$E$8</c:f>
              <c:numCache>
                <c:formatCode>General</c:formatCode>
                <c:ptCount val="3"/>
                <c:pt idx="0">
                  <c:v>312</c:v>
                </c:pt>
                <c:pt idx="1">
                  <c:v>373</c:v>
                </c:pt>
                <c:pt idx="2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5-47F5-80D5-50D63B8041F6}"/>
            </c:ext>
          </c:extLst>
        </c:ser>
        <c:ser>
          <c:idx val="4"/>
          <c:order val="4"/>
          <c:tx>
            <c:strRef>
              <c:f>Sheet10!$F$3:$F$4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Sheet10!$A$5:$A$8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Sheet10!$F$5:$F$8</c:f>
              <c:numCache>
                <c:formatCode>General</c:formatCode>
                <c:ptCount val="3"/>
                <c:pt idx="0">
                  <c:v>224</c:v>
                </c:pt>
                <c:pt idx="1">
                  <c:v>247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05-47F5-80D5-50D63B804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1007311"/>
        <c:axId val="1381007791"/>
      </c:barChart>
      <c:catAx>
        <c:axId val="138100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007791"/>
        <c:crosses val="autoZero"/>
        <c:auto val="1"/>
        <c:lblAlgn val="ctr"/>
        <c:lblOffset val="100"/>
        <c:noMultiLvlLbl val="0"/>
      </c:catAx>
      <c:valAx>
        <c:axId val="138100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00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https://chandoo.org/wp/" TargetMode="External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https://chandoo.org/wp/" TargetMode="External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openxmlformats.org/officeDocument/2006/relationships/hyperlink" Target="https://chandoo.org/wp/excel-school-program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9071</xdr:colOff>
      <xdr:row>0</xdr:row>
      <xdr:rowOff>36286</xdr:rowOff>
    </xdr:from>
    <xdr:to>
      <xdr:col>26</xdr:col>
      <xdr:colOff>235857</xdr:colOff>
      <xdr:row>42</xdr:row>
      <xdr:rowOff>23091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9BEE08D-0338-4478-8E42-7F0208C77B4A}"/>
            </a:ext>
          </a:extLst>
        </xdr:cNvPr>
        <xdr:cNvSpPr/>
      </xdr:nvSpPr>
      <xdr:spPr>
        <a:xfrm>
          <a:off x="1787071" y="36286"/>
          <a:ext cx="14300695" cy="77453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6349</xdr:colOff>
      <xdr:row>0</xdr:row>
      <xdr:rowOff>6350</xdr:rowOff>
    </xdr:from>
    <xdr:to>
      <xdr:col>3</xdr:col>
      <xdr:colOff>9071</xdr:colOff>
      <xdr:row>42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EF2E43F-BD46-D801-7BD5-52E720925113}"/>
            </a:ext>
          </a:extLst>
        </xdr:cNvPr>
        <xdr:cNvSpPr/>
      </xdr:nvSpPr>
      <xdr:spPr>
        <a:xfrm>
          <a:off x="6349" y="6350"/>
          <a:ext cx="1780722" cy="7752195"/>
        </a:xfrm>
        <a:prstGeom prst="rect">
          <a:avLst/>
        </a:prstGeom>
        <a:solidFill>
          <a:schemeClr val="accent2">
            <a:lumMod val="50000"/>
          </a:schemeClr>
        </a:solidFill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0</xdr:col>
      <xdr:colOff>38099</xdr:colOff>
      <xdr:row>2</xdr:row>
      <xdr:rowOff>54432</xdr:rowOff>
    </xdr:from>
    <xdr:to>
      <xdr:col>1</xdr:col>
      <xdr:colOff>1299028</xdr:colOff>
      <xdr:row>8</xdr:row>
      <xdr:rowOff>90717</xdr:rowOff>
    </xdr:to>
    <xdr:sp macro="" textlink="Sheet2!G4">
      <xdr:nvSpPr>
        <xdr:cNvPr id="6" name="TextBox 5">
          <a:extLst>
            <a:ext uri="{FF2B5EF4-FFF2-40B4-BE49-F238E27FC236}">
              <a16:creationId xmlns:a16="http://schemas.microsoft.com/office/drawing/2014/main" id="{38411BEE-0557-90E0-9C59-F6899896F9B1}"/>
            </a:ext>
          </a:extLst>
        </xdr:cNvPr>
        <xdr:cNvSpPr txBox="1"/>
      </xdr:nvSpPr>
      <xdr:spPr>
        <a:xfrm>
          <a:off x="38099" y="417289"/>
          <a:ext cx="1460500" cy="11248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1311E35-B347-47FE-BE70-AF7A4B7CDC26}" type="TxLink">
            <a:rPr lang="en-US" sz="1800" b="0" i="0" u="none" strike="noStrike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ptos Narrow"/>
            </a:rPr>
            <a:t>2,400</a:t>
          </a:fld>
          <a:endParaRPr lang="en-IN" sz="18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19956</xdr:colOff>
      <xdr:row>6</xdr:row>
      <xdr:rowOff>106137</xdr:rowOff>
    </xdr:from>
    <xdr:to>
      <xdr:col>1</xdr:col>
      <xdr:colOff>1280885</xdr:colOff>
      <xdr:row>12</xdr:row>
      <xdr:rowOff>142422</xdr:rowOff>
    </xdr:to>
    <xdr:sp macro="" textlink="Sheet2!H4">
      <xdr:nvSpPr>
        <xdr:cNvPr id="7" name="TextBox 6">
          <a:extLst>
            <a:ext uri="{FF2B5EF4-FFF2-40B4-BE49-F238E27FC236}">
              <a16:creationId xmlns:a16="http://schemas.microsoft.com/office/drawing/2014/main" id="{41E3E452-8CBF-4B69-9A21-5F7C3766A3F0}"/>
            </a:ext>
          </a:extLst>
        </xdr:cNvPr>
        <xdr:cNvSpPr txBox="1"/>
      </xdr:nvSpPr>
      <xdr:spPr>
        <a:xfrm>
          <a:off x="19956" y="1194708"/>
          <a:ext cx="1460500" cy="11248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9A3D1C5-93D1-4E04-959B-8CC168659D53}" type="TxLink">
            <a:rPr lang="en-US" sz="1800" b="0" i="0" u="none" strike="noStrike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/>
            <a:t>11,997</a:t>
          </a:fld>
          <a:endParaRPr lang="en-US" sz="1800" b="0" i="0" u="none" strike="noStrike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29027</xdr:colOff>
      <xdr:row>11</xdr:row>
      <xdr:rowOff>22677</xdr:rowOff>
    </xdr:from>
    <xdr:to>
      <xdr:col>1</xdr:col>
      <xdr:colOff>1289956</xdr:colOff>
      <xdr:row>17</xdr:row>
      <xdr:rowOff>58962</xdr:rowOff>
    </xdr:to>
    <xdr:sp macro="" textlink="Sheet2!I4">
      <xdr:nvSpPr>
        <xdr:cNvPr id="8" name="TextBox 7">
          <a:extLst>
            <a:ext uri="{FF2B5EF4-FFF2-40B4-BE49-F238E27FC236}">
              <a16:creationId xmlns:a16="http://schemas.microsoft.com/office/drawing/2014/main" id="{94B80FE8-B309-4699-BAAD-E93A9C6DC5D5}"/>
            </a:ext>
          </a:extLst>
        </xdr:cNvPr>
        <xdr:cNvSpPr txBox="1"/>
      </xdr:nvSpPr>
      <xdr:spPr>
        <a:xfrm>
          <a:off x="29027" y="2018391"/>
          <a:ext cx="1460500" cy="11248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07D3337-4FEC-4040-9C67-D103027EE8EA}" type="TxLink">
            <a:rPr lang="en-US" sz="1800" b="0" i="0" u="none" strike="noStrike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/>
            <a:t>$649.0k</a:t>
          </a:fld>
          <a:endParaRPr lang="en-US" sz="1800" b="0" i="0" u="none" strike="noStrike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38099</xdr:colOff>
      <xdr:row>15</xdr:row>
      <xdr:rowOff>166005</xdr:rowOff>
    </xdr:from>
    <xdr:to>
      <xdr:col>1</xdr:col>
      <xdr:colOff>1299028</xdr:colOff>
      <xdr:row>22</xdr:row>
      <xdr:rowOff>20862</xdr:rowOff>
    </xdr:to>
    <xdr:sp macro="" textlink="Sheet2!J4">
      <xdr:nvSpPr>
        <xdr:cNvPr id="9" name="TextBox 8">
          <a:extLst>
            <a:ext uri="{FF2B5EF4-FFF2-40B4-BE49-F238E27FC236}">
              <a16:creationId xmlns:a16="http://schemas.microsoft.com/office/drawing/2014/main" id="{EA345007-51A5-4246-A520-F5E1F5A0CCEB}"/>
            </a:ext>
          </a:extLst>
        </xdr:cNvPr>
        <xdr:cNvSpPr txBox="1"/>
      </xdr:nvSpPr>
      <xdr:spPr>
        <a:xfrm>
          <a:off x="38099" y="2887434"/>
          <a:ext cx="1460500" cy="11248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4E4A04D-6140-444C-8F77-07D6138EB056}" type="TxLink">
            <a:rPr lang="en-US" sz="1800" b="0" i="0" u="none" strike="noStrike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/>
            <a:t>4.0</a:t>
          </a:fld>
          <a:endParaRPr lang="en-US" sz="1800" b="0" i="0" u="none" strike="noStrike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38099</xdr:colOff>
      <xdr:row>20</xdr:row>
      <xdr:rowOff>102507</xdr:rowOff>
    </xdr:from>
    <xdr:to>
      <xdr:col>1</xdr:col>
      <xdr:colOff>1299028</xdr:colOff>
      <xdr:row>26</xdr:row>
      <xdr:rowOff>138792</xdr:rowOff>
    </xdr:to>
    <xdr:sp macro="" textlink="Sheet2!K4">
      <xdr:nvSpPr>
        <xdr:cNvPr id="10" name="TextBox 9">
          <a:extLst>
            <a:ext uri="{FF2B5EF4-FFF2-40B4-BE49-F238E27FC236}">
              <a16:creationId xmlns:a16="http://schemas.microsoft.com/office/drawing/2014/main" id="{697AD91A-C970-498A-8FD9-7FB61207EF03}"/>
            </a:ext>
          </a:extLst>
        </xdr:cNvPr>
        <xdr:cNvSpPr txBox="1"/>
      </xdr:nvSpPr>
      <xdr:spPr>
        <a:xfrm>
          <a:off x="38099" y="3731078"/>
          <a:ext cx="1460500" cy="11248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4156649-740B-4665-8BEE-DC38CA39FB52}" type="TxLink">
            <a:rPr lang="en-US" sz="1800" b="0" i="0" u="none" strike="noStrike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/>
            <a:t>2.3</a:t>
          </a:fld>
          <a:endParaRPr lang="en-IN" sz="1800" b="0" i="0" u="none" strike="noStrike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19956</xdr:colOff>
      <xdr:row>0</xdr:row>
      <xdr:rowOff>171450</xdr:rowOff>
    </xdr:from>
    <xdr:to>
      <xdr:col>1</xdr:col>
      <xdr:colOff>1253671</xdr:colOff>
      <xdr:row>2</xdr:row>
      <xdr:rowOff>56243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3182302-073B-EA23-F0CC-123BA64D2BFD}"/>
            </a:ext>
          </a:extLst>
        </xdr:cNvPr>
        <xdr:cNvSpPr txBox="1"/>
      </xdr:nvSpPr>
      <xdr:spPr>
        <a:xfrm>
          <a:off x="19956" y="171450"/>
          <a:ext cx="143328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🛒 </a:t>
          </a:r>
          <a:r>
            <a:rPr lang="en-US" sz="1100">
              <a:gradFill flip="none" rotWithShape="1">
                <a:gsLst>
                  <a:gs pos="0">
                    <a:schemeClr val="dk1">
                      <a:tint val="66000"/>
                      <a:satMod val="160000"/>
                    </a:schemeClr>
                  </a:gs>
                  <a:gs pos="50000">
                    <a:schemeClr val="dk1">
                      <a:tint val="44500"/>
                      <a:satMod val="160000"/>
                    </a:schemeClr>
                  </a:gs>
                  <a:gs pos="100000">
                    <a:schemeClr val="dk1">
                      <a:tint val="23500"/>
                      <a:satMod val="160000"/>
                    </a:schemeClr>
                  </a:gs>
                </a:gsLst>
                <a:lin ang="2700000" scaled="1"/>
                <a:tileRect/>
              </a:gradFill>
              <a:latin typeface="+mn-lt"/>
              <a:ea typeface="+mn-ea"/>
              <a:cs typeface="+mn-cs"/>
            </a:rPr>
            <a:t>Orders</a:t>
          </a:r>
          <a:endParaRPr lang="en-IN" sz="1100">
            <a:gradFill flip="none" rotWithShape="1">
              <a:gsLst>
                <a:gs pos="0">
                  <a:schemeClr val="dk1">
                    <a:tint val="66000"/>
                    <a:satMod val="160000"/>
                  </a:schemeClr>
                </a:gs>
                <a:gs pos="50000">
                  <a:schemeClr val="dk1">
                    <a:tint val="44500"/>
                    <a:satMod val="160000"/>
                  </a:schemeClr>
                </a:gs>
                <a:gs pos="100000">
                  <a:schemeClr val="dk1">
                    <a:tint val="23500"/>
                    <a:satMod val="160000"/>
                  </a:schemeClr>
                </a:gs>
              </a:gsLst>
              <a:lin ang="2700000" scaled="1"/>
              <a:tileRect/>
            </a:gra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10884</xdr:colOff>
      <xdr:row>5</xdr:row>
      <xdr:rowOff>61685</xdr:rowOff>
    </xdr:from>
    <xdr:to>
      <xdr:col>1</xdr:col>
      <xdr:colOff>1244599</xdr:colOff>
      <xdr:row>6</xdr:row>
      <xdr:rowOff>125186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66F871F-A383-48D7-888F-CC32C5701775}"/>
            </a:ext>
          </a:extLst>
        </xdr:cNvPr>
        <xdr:cNvSpPr txBox="1"/>
      </xdr:nvSpPr>
      <xdr:spPr>
        <a:xfrm>
          <a:off x="10884" y="968828"/>
          <a:ext cx="1433286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gradFill flip="none" rotWithShape="1">
                <a:gsLst>
                  <a:gs pos="0">
                    <a:schemeClr val="dk1">
                      <a:tint val="66000"/>
                      <a:satMod val="160000"/>
                    </a:schemeClr>
                  </a:gs>
                  <a:gs pos="50000">
                    <a:schemeClr val="dk1">
                      <a:tint val="44500"/>
                      <a:satMod val="160000"/>
                    </a:schemeClr>
                  </a:gs>
                  <a:gs pos="100000">
                    <a:schemeClr val="dk1">
                      <a:tint val="23500"/>
                      <a:satMod val="160000"/>
                    </a:schemeClr>
                  </a:gs>
                </a:gsLst>
                <a:lin ang="2700000" scaled="1"/>
                <a:tileRect/>
              </a:gradFill>
              <a:latin typeface="+mn-lt"/>
              <a:ea typeface="+mn-ea"/>
              <a:cs typeface="+mn-cs"/>
            </a:rPr>
            <a:t>👕 Quantity</a:t>
          </a:r>
          <a:endParaRPr lang="en-IN" sz="1100">
            <a:gradFill flip="none" rotWithShape="1">
              <a:gsLst>
                <a:gs pos="0">
                  <a:schemeClr val="dk1">
                    <a:tint val="66000"/>
                    <a:satMod val="160000"/>
                  </a:schemeClr>
                </a:gs>
                <a:gs pos="50000">
                  <a:schemeClr val="dk1">
                    <a:tint val="44500"/>
                    <a:satMod val="160000"/>
                  </a:schemeClr>
                </a:gs>
                <a:gs pos="100000">
                  <a:schemeClr val="dk1">
                    <a:tint val="23500"/>
                    <a:satMod val="160000"/>
                  </a:schemeClr>
                </a:gs>
              </a:gsLst>
              <a:lin ang="2700000" scaled="1"/>
              <a:tileRect/>
            </a:gra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9</xdr:row>
      <xdr:rowOff>170542</xdr:rowOff>
    </xdr:from>
    <xdr:to>
      <xdr:col>1</xdr:col>
      <xdr:colOff>1233715</xdr:colOff>
      <xdr:row>11</xdr:row>
      <xdr:rowOff>52614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AA1B651-7899-485E-B42D-71C944F67201}"/>
            </a:ext>
          </a:extLst>
        </xdr:cNvPr>
        <xdr:cNvSpPr txBox="1"/>
      </xdr:nvSpPr>
      <xdr:spPr>
        <a:xfrm>
          <a:off x="0" y="1803399"/>
          <a:ext cx="1433286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gradFill flip="none" rotWithShape="1">
                <a:gsLst>
                  <a:gs pos="0">
                    <a:schemeClr val="dk1">
                      <a:tint val="66000"/>
                      <a:satMod val="160000"/>
                    </a:schemeClr>
                  </a:gs>
                  <a:gs pos="50000">
                    <a:schemeClr val="dk1">
                      <a:tint val="44500"/>
                      <a:satMod val="160000"/>
                    </a:schemeClr>
                  </a:gs>
                  <a:gs pos="100000">
                    <a:schemeClr val="dk1">
                      <a:tint val="23500"/>
                      <a:satMod val="160000"/>
                    </a:schemeClr>
                  </a:gs>
                </a:gsLst>
                <a:lin ang="2700000" scaled="1"/>
                <a:tileRect/>
              </a:gradFill>
              <a:latin typeface="+mn-lt"/>
              <a:ea typeface="+mn-ea"/>
              <a:cs typeface="+mn-cs"/>
            </a:rPr>
            <a:t>💲Amount</a:t>
          </a:r>
          <a:endParaRPr lang="en-IN" sz="1100">
            <a:gradFill flip="none" rotWithShape="1">
              <a:gsLst>
                <a:gs pos="0">
                  <a:schemeClr val="dk1">
                    <a:tint val="66000"/>
                    <a:satMod val="160000"/>
                  </a:schemeClr>
                </a:gs>
                <a:gs pos="50000">
                  <a:schemeClr val="dk1">
                    <a:tint val="44500"/>
                    <a:satMod val="160000"/>
                  </a:schemeClr>
                </a:gs>
                <a:gs pos="100000">
                  <a:schemeClr val="dk1">
                    <a:tint val="23500"/>
                    <a:satMod val="160000"/>
                  </a:schemeClr>
                </a:gs>
              </a:gsLst>
              <a:lin ang="2700000" scaled="1"/>
              <a:tileRect/>
            </a:gra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29027</xdr:colOff>
      <xdr:row>14</xdr:row>
      <xdr:rowOff>103413</xdr:rowOff>
    </xdr:from>
    <xdr:to>
      <xdr:col>1</xdr:col>
      <xdr:colOff>1262742</xdr:colOff>
      <xdr:row>15</xdr:row>
      <xdr:rowOff>166913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94E0E98-2689-40FF-8BC6-2EEE2438CB7A}"/>
            </a:ext>
          </a:extLst>
        </xdr:cNvPr>
        <xdr:cNvSpPr txBox="1"/>
      </xdr:nvSpPr>
      <xdr:spPr>
        <a:xfrm>
          <a:off x="29027" y="2643413"/>
          <a:ext cx="1433286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gradFill flip="none" rotWithShape="1">
                <a:gsLst>
                  <a:gs pos="0">
                    <a:schemeClr val="dk1">
                      <a:tint val="66000"/>
                      <a:satMod val="160000"/>
                    </a:schemeClr>
                  </a:gs>
                  <a:gs pos="50000">
                    <a:schemeClr val="dk1">
                      <a:tint val="44500"/>
                      <a:satMod val="160000"/>
                    </a:schemeClr>
                  </a:gs>
                  <a:gs pos="100000">
                    <a:schemeClr val="dk1">
                      <a:tint val="23500"/>
                      <a:satMod val="160000"/>
                    </a:schemeClr>
                  </a:gs>
                </a:gsLst>
                <a:lin ang="2700000" scaled="1"/>
                <a:tileRect/>
              </a:gradFill>
              <a:latin typeface="+mn-lt"/>
              <a:ea typeface="+mn-ea"/>
              <a:cs typeface="+mn-cs"/>
            </a:rPr>
            <a:t>⭐ Avg. Rating</a:t>
          </a:r>
          <a:endParaRPr lang="en-IN" sz="1100">
            <a:gradFill flip="none" rotWithShape="1">
              <a:gsLst>
                <a:gs pos="0">
                  <a:schemeClr val="dk1">
                    <a:tint val="66000"/>
                    <a:satMod val="160000"/>
                  </a:schemeClr>
                </a:gs>
                <a:gs pos="50000">
                  <a:schemeClr val="dk1">
                    <a:tint val="44500"/>
                    <a:satMod val="160000"/>
                  </a:schemeClr>
                </a:gs>
                <a:gs pos="100000">
                  <a:schemeClr val="dk1">
                    <a:tint val="23500"/>
                    <a:satMod val="160000"/>
                  </a:schemeClr>
                </a:gs>
              </a:gsLst>
              <a:lin ang="2700000" scaled="1"/>
              <a:tileRect/>
            </a:gra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1813</xdr:colOff>
      <xdr:row>19</xdr:row>
      <xdr:rowOff>65312</xdr:rowOff>
    </xdr:from>
    <xdr:to>
      <xdr:col>1</xdr:col>
      <xdr:colOff>1235528</xdr:colOff>
      <xdr:row>20</xdr:row>
      <xdr:rowOff>128813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6C04754-F023-4912-B190-07263EF22B9B}"/>
            </a:ext>
          </a:extLst>
        </xdr:cNvPr>
        <xdr:cNvSpPr txBox="1"/>
      </xdr:nvSpPr>
      <xdr:spPr>
        <a:xfrm>
          <a:off x="1813" y="3512455"/>
          <a:ext cx="1433286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gradFill flip="none" rotWithShape="1">
                <a:gsLst>
                  <a:gs pos="0">
                    <a:schemeClr val="dk1">
                      <a:tint val="66000"/>
                      <a:satMod val="160000"/>
                    </a:schemeClr>
                  </a:gs>
                  <a:gs pos="50000">
                    <a:schemeClr val="dk1">
                      <a:tint val="44500"/>
                      <a:satMod val="160000"/>
                    </a:schemeClr>
                  </a:gs>
                  <a:gs pos="100000">
                    <a:schemeClr val="dk1">
                      <a:tint val="23500"/>
                      <a:satMod val="160000"/>
                    </a:schemeClr>
                  </a:gs>
                </a:gsLst>
                <a:lin ang="2700000" scaled="1"/>
                <a:tileRect/>
              </a:gradFill>
              <a:latin typeface="+mn-lt"/>
              <a:ea typeface="+mn-ea"/>
              <a:cs typeface="+mn-cs"/>
            </a:rPr>
            <a:t>📅 Days to</a:t>
          </a:r>
          <a:r>
            <a:rPr lang="en-US" sz="1100" baseline="0">
              <a:gradFill flip="none" rotWithShape="1">
                <a:gsLst>
                  <a:gs pos="0">
                    <a:schemeClr val="dk1">
                      <a:tint val="66000"/>
                      <a:satMod val="160000"/>
                    </a:schemeClr>
                  </a:gs>
                  <a:gs pos="50000">
                    <a:schemeClr val="dk1">
                      <a:tint val="44500"/>
                      <a:satMod val="160000"/>
                    </a:schemeClr>
                  </a:gs>
                  <a:gs pos="100000">
                    <a:schemeClr val="dk1">
                      <a:tint val="23500"/>
                      <a:satMod val="160000"/>
                    </a:schemeClr>
                  </a:gs>
                </a:gsLst>
                <a:lin ang="2700000" scaled="1"/>
                <a:tileRect/>
              </a:gradFill>
              <a:latin typeface="+mn-lt"/>
              <a:ea typeface="+mn-ea"/>
              <a:cs typeface="+mn-cs"/>
            </a:rPr>
            <a:t> Deliver</a:t>
          </a:r>
          <a:r>
            <a:rPr lang="en-US" sz="1100">
              <a:gradFill flip="none" rotWithShape="1">
                <a:gsLst>
                  <a:gs pos="0">
                    <a:schemeClr val="dk1">
                      <a:tint val="66000"/>
                      <a:satMod val="160000"/>
                    </a:schemeClr>
                  </a:gs>
                  <a:gs pos="50000">
                    <a:schemeClr val="dk1">
                      <a:tint val="44500"/>
                      <a:satMod val="160000"/>
                    </a:schemeClr>
                  </a:gs>
                  <a:gs pos="100000">
                    <a:schemeClr val="dk1">
                      <a:tint val="23500"/>
                      <a:satMod val="160000"/>
                    </a:schemeClr>
                  </a:gs>
                </a:gsLst>
                <a:lin ang="2700000" scaled="1"/>
                <a:tileRect/>
              </a:gradFill>
              <a:latin typeface="+mn-lt"/>
              <a:ea typeface="+mn-ea"/>
              <a:cs typeface="+mn-cs"/>
            </a:rPr>
            <a:t> </a:t>
          </a:r>
          <a:endParaRPr lang="en-IN" sz="1100">
            <a:gradFill flip="none" rotWithShape="1">
              <a:gsLst>
                <a:gs pos="0">
                  <a:schemeClr val="dk1">
                    <a:tint val="66000"/>
                    <a:satMod val="160000"/>
                  </a:schemeClr>
                </a:gs>
                <a:gs pos="50000">
                  <a:schemeClr val="dk1">
                    <a:tint val="44500"/>
                    <a:satMod val="160000"/>
                  </a:schemeClr>
                </a:gs>
                <a:gs pos="100000">
                  <a:schemeClr val="dk1">
                    <a:tint val="23500"/>
                    <a:satMod val="160000"/>
                  </a:schemeClr>
                </a:gs>
              </a:gsLst>
              <a:lin ang="2700000" scaled="1"/>
              <a:tileRect/>
            </a:gra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278740</xdr:colOff>
      <xdr:row>1</xdr:row>
      <xdr:rowOff>91539</xdr:rowOff>
    </xdr:from>
    <xdr:to>
      <xdr:col>10</xdr:col>
      <xdr:colOff>596240</xdr:colOff>
      <xdr:row>16</xdr:row>
      <xdr:rowOff>116609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9F4042A-ADD1-43A6-86AC-2C1FC032D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231732</xdr:colOff>
          <xdr:row>3</xdr:row>
          <xdr:rowOff>66798</xdr:rowOff>
        </xdr:from>
        <xdr:to>
          <xdr:col>18</xdr:col>
          <xdr:colOff>92364</xdr:colOff>
          <xdr:row>14</xdr:row>
          <xdr:rowOff>75448</xdr:rowOff>
        </xdr:to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4AABF74B-9E56-0141-E5A4-C487EC3B786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5!$H$4:$L$9" spid="_x0000_s614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905005" y="620980"/>
              <a:ext cx="4143995" cy="20406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18</xdr:col>
      <xdr:colOff>309253</xdr:colOff>
      <xdr:row>1</xdr:row>
      <xdr:rowOff>105560</xdr:rowOff>
    </xdr:from>
    <xdr:to>
      <xdr:col>26</xdr:col>
      <xdr:colOff>14844</xdr:colOff>
      <xdr:row>16</xdr:row>
      <xdr:rowOff>127331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13861EB-2F3D-46A2-83DC-1C1B6CC10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295233</xdr:colOff>
      <xdr:row>18</xdr:row>
      <xdr:rowOff>128649</xdr:rowOff>
    </xdr:from>
    <xdr:to>
      <xdr:col>10</xdr:col>
      <xdr:colOff>583869</xdr:colOff>
      <xdr:row>33</xdr:row>
      <xdr:rowOff>100940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43AFC3F-B076-472C-A7F8-48260F45C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588819</xdr:colOff>
      <xdr:row>24</xdr:row>
      <xdr:rowOff>161635</xdr:rowOff>
    </xdr:from>
    <xdr:to>
      <xdr:col>10</xdr:col>
      <xdr:colOff>427182</xdr:colOff>
      <xdr:row>32</xdr:row>
      <xdr:rowOff>115454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F2DCB7A-2CA3-423B-98E8-2329C12BB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332343</xdr:colOff>
      <xdr:row>18</xdr:row>
      <xdr:rowOff>117105</xdr:rowOff>
    </xdr:from>
    <xdr:to>
      <xdr:col>18</xdr:col>
      <xdr:colOff>103909</xdr:colOff>
      <xdr:row>33</xdr:row>
      <xdr:rowOff>89396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CFA9F67-F0C2-4B47-BAAA-585EE582C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470889</xdr:colOff>
      <xdr:row>18</xdr:row>
      <xdr:rowOff>117105</xdr:rowOff>
    </xdr:from>
    <xdr:to>
      <xdr:col>26</xdr:col>
      <xdr:colOff>34635</xdr:colOff>
      <xdr:row>33</xdr:row>
      <xdr:rowOff>89396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34B193D-5603-4287-B059-3C6E39B16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26</xdr:col>
      <xdr:colOff>0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2E711C-2A24-4D4D-87BA-83E9FC8B40D0}"/>
            </a:ext>
          </a:extLst>
        </xdr:cNvPr>
        <xdr:cNvSpPr/>
      </xdr:nvSpPr>
      <xdr:spPr>
        <a:xfrm>
          <a:off x="1981200" y="0"/>
          <a:ext cx="13258800" cy="78638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  <a:effectLst>
          <a:outerShdw blurRad="254000" dist="127000" algn="l" rotWithShape="0">
            <a:prstClr val="black">
              <a:alpha val="1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CF5D1E-2563-41D5-BA29-5EAAC61A9C34}"/>
            </a:ext>
          </a:extLst>
        </xdr:cNvPr>
        <xdr:cNvSpPr/>
      </xdr:nvSpPr>
      <xdr:spPr>
        <a:xfrm>
          <a:off x="0" y="0"/>
          <a:ext cx="1981200" cy="7863840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  <a:effectLst>
          <a:outerShdw blurRad="254000" dist="127000" algn="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206339</xdr:colOff>
      <xdr:row>0</xdr:row>
      <xdr:rowOff>101429</xdr:rowOff>
    </xdr:from>
    <xdr:to>
      <xdr:col>2</xdr:col>
      <xdr:colOff>0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7DA6DE-9337-4C9B-AF91-2F7756690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6339" y="101429"/>
          <a:ext cx="1546261" cy="447211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1</xdr:row>
      <xdr:rowOff>0</xdr:rowOff>
    </xdr:from>
    <xdr:to>
      <xdr:col>25</xdr:col>
      <xdr:colOff>0</xdr:colOff>
      <xdr:row>3</xdr:row>
      <xdr:rowOff>67829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E40EAC-D019-CE2B-01E2-EC0A7137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00" y="182880"/>
          <a:ext cx="1524000" cy="4335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4</xdr:col>
      <xdr:colOff>324130</xdr:colOff>
      <xdr:row>3</xdr:row>
      <xdr:rowOff>76322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BF637-9F8C-404F-8B9A-8AB22E64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9200" y="182880"/>
          <a:ext cx="1543330" cy="4420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304800</xdr:colOff>
      <xdr:row>29</xdr:row>
      <xdr:rowOff>67829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2BB025-83F9-4955-BC88-7D277D799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937760"/>
          <a:ext cx="1524000" cy="433589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7</xdr:row>
      <xdr:rowOff>1</xdr:rowOff>
    </xdr:from>
    <xdr:to>
      <xdr:col>8</xdr:col>
      <xdr:colOff>1</xdr:colOff>
      <xdr:row>21</xdr:row>
      <xdr:rowOff>1</xdr:rowOff>
    </xdr:to>
    <xdr:pic>
      <xdr:nvPicPr>
        <xdr:cNvPr id="5" name="Pictur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527581-9CC7-32E2-D643-E625DB568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1" y="1280161"/>
          <a:ext cx="2560320" cy="256032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lay" refreshedDate="46137.898014004626" createdVersion="8" refreshedVersion="8" minRefreshableVersion="3" recordCount="2400" xr:uid="{D3A64A9D-BB0F-4B6C-8631-8E11492497B8}">
  <cacheSource type="worksheet">
    <worksheetSource name="orders"/>
  </cacheSource>
  <cacheFields count="18">
    <cacheField name="TX ID" numFmtId="0">
      <sharedItems count="2400">
        <s v="TX500001"/>
        <s v="TX500002"/>
        <s v="TX500003"/>
        <s v="TX500004"/>
        <s v="TX500005"/>
        <s v="TX500006"/>
        <s v="TX500007"/>
        <s v="TX500008"/>
        <s v="TX500009"/>
        <s v="TX500010"/>
        <s v="TX500011"/>
        <s v="TX500012"/>
        <s v="TX500013"/>
        <s v="TX500014"/>
        <s v="TX500015"/>
        <s v="TX500016"/>
        <s v="TX500017"/>
        <s v="TX500018"/>
        <s v="TX500019"/>
        <s v="TX500020"/>
        <s v="TX500021"/>
        <s v="TX500022"/>
        <s v="TX500023"/>
        <s v="TX500024"/>
        <s v="TX500025"/>
        <s v="TX500026"/>
        <s v="TX500027"/>
        <s v="TX500028"/>
        <s v="TX500029"/>
        <s v="TX500030"/>
        <s v="TX500031"/>
        <s v="TX500032"/>
        <s v="TX500033"/>
        <s v="TX500034"/>
        <s v="TX500035"/>
        <s v="TX500036"/>
        <s v="TX500037"/>
        <s v="TX500038"/>
        <s v="TX500039"/>
        <s v="TX500040"/>
        <s v="TX500041"/>
        <s v="TX500042"/>
        <s v="TX500043"/>
        <s v="TX500044"/>
        <s v="TX500045"/>
        <s v="TX500046"/>
        <s v="TX500047"/>
        <s v="TX500048"/>
        <s v="TX500049"/>
        <s v="TX500050"/>
        <s v="TX500051"/>
        <s v="TX500052"/>
        <s v="TX500053"/>
        <s v="TX500054"/>
        <s v="TX500055"/>
        <s v="TX500056"/>
        <s v="TX500057"/>
        <s v="TX500058"/>
        <s v="TX500059"/>
        <s v="TX500060"/>
        <s v="TX500061"/>
        <s v="TX500062"/>
        <s v="TX500063"/>
        <s v="TX500064"/>
        <s v="TX500065"/>
        <s v="TX500066"/>
        <s v="TX500067"/>
        <s v="TX500068"/>
        <s v="TX500069"/>
        <s v="TX500070"/>
        <s v="TX500071"/>
        <s v="TX500072"/>
        <s v="TX500073"/>
        <s v="TX500074"/>
        <s v="TX500075"/>
        <s v="TX500076"/>
        <s v="TX500077"/>
        <s v="TX500078"/>
        <s v="TX500079"/>
        <s v="TX500080"/>
        <s v="TX500081"/>
        <s v="TX500082"/>
        <s v="TX500083"/>
        <s v="TX500084"/>
        <s v="TX500085"/>
        <s v="TX500086"/>
        <s v="TX500087"/>
        <s v="TX500088"/>
        <s v="TX500089"/>
        <s v="TX500090"/>
        <s v="TX500091"/>
        <s v="TX500092"/>
        <s v="TX500093"/>
        <s v="TX500094"/>
        <s v="TX500095"/>
        <s v="TX500096"/>
        <s v="TX500097"/>
        <s v="TX500098"/>
        <s v="TX500099"/>
        <s v="TX500100"/>
        <s v="TX500101"/>
        <s v="TX500102"/>
        <s v="TX500103"/>
        <s v="TX500104"/>
        <s v="TX500105"/>
        <s v="TX500106"/>
        <s v="TX500107"/>
        <s v="TX500108"/>
        <s v="TX500109"/>
        <s v="TX500110"/>
        <s v="TX500111"/>
        <s v="TX500112"/>
        <s v="TX500113"/>
        <s v="TX500114"/>
        <s v="TX500115"/>
        <s v="TX500116"/>
        <s v="TX500117"/>
        <s v="TX500118"/>
        <s v="TX500119"/>
        <s v="TX500120"/>
        <s v="TX500121"/>
        <s v="TX500122"/>
        <s v="TX500123"/>
        <s v="TX500124"/>
        <s v="TX500125"/>
        <s v="TX500126"/>
        <s v="TX500127"/>
        <s v="TX500128"/>
        <s v="TX500129"/>
        <s v="TX500130"/>
        <s v="TX500131"/>
        <s v="TX500132"/>
        <s v="TX500133"/>
        <s v="TX500134"/>
        <s v="TX500135"/>
        <s v="TX500136"/>
        <s v="TX500137"/>
        <s v="TX500138"/>
        <s v="TX500139"/>
        <s v="TX500140"/>
        <s v="TX500141"/>
        <s v="TX500142"/>
        <s v="TX500143"/>
        <s v="TX500144"/>
        <s v="TX500145"/>
        <s v="TX500146"/>
        <s v="TX500147"/>
        <s v="TX500148"/>
        <s v="TX500149"/>
        <s v="TX500150"/>
        <s v="TX500151"/>
        <s v="TX500152"/>
        <s v="TX500153"/>
        <s v="TX500154"/>
        <s v="TX500155"/>
        <s v="TX500156"/>
        <s v="TX500157"/>
        <s v="TX500158"/>
        <s v="TX500159"/>
        <s v="TX500160"/>
        <s v="TX500161"/>
        <s v="TX500162"/>
        <s v="TX500163"/>
        <s v="TX500164"/>
        <s v="TX500165"/>
        <s v="TX500166"/>
        <s v="TX500167"/>
        <s v="TX500168"/>
        <s v="TX500169"/>
        <s v="TX500170"/>
        <s v="TX500171"/>
        <s v="TX500172"/>
        <s v="TX500173"/>
        <s v="TX500174"/>
        <s v="TX500175"/>
        <s v="TX500176"/>
        <s v="TX500177"/>
        <s v="TX500178"/>
        <s v="TX500179"/>
        <s v="TX500180"/>
        <s v="TX500181"/>
        <s v="TX500182"/>
        <s v="TX500183"/>
        <s v="TX500184"/>
        <s v="TX500185"/>
        <s v="TX500186"/>
        <s v="TX500187"/>
        <s v="TX500188"/>
        <s v="TX500189"/>
        <s v="TX500190"/>
        <s v="TX500191"/>
        <s v="TX500192"/>
        <s v="TX500193"/>
        <s v="TX500194"/>
        <s v="TX500195"/>
        <s v="TX500196"/>
        <s v="TX500197"/>
        <s v="TX500198"/>
        <s v="TX500199"/>
        <s v="TX500200"/>
        <s v="TX500201"/>
        <s v="TX500202"/>
        <s v="TX500203"/>
        <s v="TX500204"/>
        <s v="TX500205"/>
        <s v="TX500206"/>
        <s v="TX500207"/>
        <s v="TX500208"/>
        <s v="TX500209"/>
        <s v="TX500210"/>
        <s v="TX500211"/>
        <s v="TX500212"/>
        <s v="TX500213"/>
        <s v="TX500214"/>
        <s v="TX500215"/>
        <s v="TX500216"/>
        <s v="TX500217"/>
        <s v="TX500218"/>
        <s v="TX500219"/>
        <s v="TX500220"/>
        <s v="TX500221"/>
        <s v="TX500222"/>
        <s v="TX500223"/>
        <s v="TX500224"/>
        <s v="TX500225"/>
        <s v="TX500226"/>
        <s v="TX500227"/>
        <s v="TX500228"/>
        <s v="TX500229"/>
        <s v="TX500230"/>
        <s v="TX500231"/>
        <s v="TX500232"/>
        <s v="TX500233"/>
        <s v="TX500234"/>
        <s v="TX500235"/>
        <s v="TX500236"/>
        <s v="TX500237"/>
        <s v="TX500238"/>
        <s v="TX500239"/>
        <s v="TX500240"/>
        <s v="TX500241"/>
        <s v="TX500242"/>
        <s v="TX500243"/>
        <s v="TX500244"/>
        <s v="TX500245"/>
        <s v="TX500246"/>
        <s v="TX500247"/>
        <s v="TX500248"/>
        <s v="TX500249"/>
        <s v="TX500250"/>
        <s v="TX500251"/>
        <s v="TX500252"/>
        <s v="TX500253"/>
        <s v="TX500254"/>
        <s v="TX500255"/>
        <s v="TX500256"/>
        <s v="TX500257"/>
        <s v="TX500258"/>
        <s v="TX500259"/>
        <s v="TX500260"/>
        <s v="TX500261"/>
        <s v="TX500262"/>
        <s v="TX500263"/>
        <s v="TX500264"/>
        <s v="TX500265"/>
        <s v="TX500266"/>
        <s v="TX500267"/>
        <s v="TX500268"/>
        <s v="TX500269"/>
        <s v="TX500270"/>
        <s v="TX500271"/>
        <s v="TX500272"/>
        <s v="TX500273"/>
        <s v="TX500274"/>
        <s v="TX500275"/>
        <s v="TX500276"/>
        <s v="TX500277"/>
        <s v="TX500278"/>
        <s v="TX500279"/>
        <s v="TX500280"/>
        <s v="TX500281"/>
        <s v="TX500282"/>
        <s v="TX500283"/>
        <s v="TX500284"/>
        <s v="TX500285"/>
        <s v="TX500286"/>
        <s v="TX500287"/>
        <s v="TX500288"/>
        <s v="TX500289"/>
        <s v="TX500290"/>
        <s v="TX500291"/>
        <s v="TX500292"/>
        <s v="TX500293"/>
        <s v="TX500294"/>
        <s v="TX500295"/>
        <s v="TX500296"/>
        <s v="TX500297"/>
        <s v="TX500298"/>
        <s v="TX500299"/>
        <s v="TX500300"/>
        <s v="TX500301"/>
        <s v="TX500302"/>
        <s v="TX500303"/>
        <s v="TX500304"/>
        <s v="TX500305"/>
        <s v="TX500306"/>
        <s v="TX500307"/>
        <s v="TX500308"/>
        <s v="TX500309"/>
        <s v="TX500310"/>
        <s v="TX500311"/>
        <s v="TX500312"/>
        <s v="TX500313"/>
        <s v="TX500314"/>
        <s v="TX500315"/>
        <s v="TX500316"/>
        <s v="TX500317"/>
        <s v="TX500318"/>
        <s v="TX500319"/>
        <s v="TX500320"/>
        <s v="TX500321"/>
        <s v="TX500322"/>
        <s v="TX500323"/>
        <s v="TX500324"/>
        <s v="TX500325"/>
        <s v="TX500326"/>
        <s v="TX500327"/>
        <s v="TX500328"/>
        <s v="TX500329"/>
        <s v="TX500330"/>
        <s v="TX500331"/>
        <s v="TX500332"/>
        <s v="TX500333"/>
        <s v="TX500334"/>
        <s v="TX500335"/>
        <s v="TX500336"/>
        <s v="TX500337"/>
        <s v="TX500338"/>
        <s v="TX500339"/>
        <s v="TX500340"/>
        <s v="TX500341"/>
        <s v="TX500342"/>
        <s v="TX500343"/>
        <s v="TX500344"/>
        <s v="TX500345"/>
        <s v="TX500346"/>
        <s v="TX500347"/>
        <s v="TX500348"/>
        <s v="TX500349"/>
        <s v="TX500350"/>
        <s v="TX500351"/>
        <s v="TX500352"/>
        <s v="TX500353"/>
        <s v="TX500354"/>
        <s v="TX500355"/>
        <s v="TX500356"/>
        <s v="TX500357"/>
        <s v="TX500358"/>
        <s v="TX500359"/>
        <s v="TX500360"/>
        <s v="TX500361"/>
        <s v="TX500362"/>
        <s v="TX500363"/>
        <s v="TX500364"/>
        <s v="TX500365"/>
        <s v="TX500366"/>
        <s v="TX500367"/>
        <s v="TX500368"/>
        <s v="TX500369"/>
        <s v="TX500370"/>
        <s v="TX500371"/>
        <s v="TX500372"/>
        <s v="TX500373"/>
        <s v="TX500374"/>
        <s v="TX500375"/>
        <s v="TX500376"/>
        <s v="TX500377"/>
        <s v="TX500378"/>
        <s v="TX500379"/>
        <s v="TX500380"/>
        <s v="TX500381"/>
        <s v="TX500382"/>
        <s v="TX500383"/>
        <s v="TX500384"/>
        <s v="TX500385"/>
        <s v="TX500386"/>
        <s v="TX500387"/>
        <s v="TX500388"/>
        <s v="TX500389"/>
        <s v="TX500390"/>
        <s v="TX500391"/>
        <s v="TX500392"/>
        <s v="TX500393"/>
        <s v="TX500394"/>
        <s v="TX500395"/>
        <s v="TX500396"/>
        <s v="TX500397"/>
        <s v="TX500398"/>
        <s v="TX500399"/>
        <s v="TX500400"/>
        <s v="TX500401"/>
        <s v="TX500402"/>
        <s v="TX500403"/>
        <s v="TX500404"/>
        <s v="TX500405"/>
        <s v="TX500406"/>
        <s v="TX500407"/>
        <s v="TX500408"/>
        <s v="TX500409"/>
        <s v="TX500410"/>
        <s v="TX500411"/>
        <s v="TX500412"/>
        <s v="TX500413"/>
        <s v="TX500414"/>
        <s v="TX500415"/>
        <s v="TX500416"/>
        <s v="TX500417"/>
        <s v="TX500418"/>
        <s v="TX500419"/>
        <s v="TX500420"/>
        <s v="TX500421"/>
        <s v="TX500422"/>
        <s v="TX500423"/>
        <s v="TX500424"/>
        <s v="TX500425"/>
        <s v="TX500426"/>
        <s v="TX500427"/>
        <s v="TX500428"/>
        <s v="TX500429"/>
        <s v="TX500430"/>
        <s v="TX500431"/>
        <s v="TX500432"/>
        <s v="TX500433"/>
        <s v="TX500434"/>
        <s v="TX500435"/>
        <s v="TX500436"/>
        <s v="TX500437"/>
        <s v="TX500438"/>
        <s v="TX500439"/>
        <s v="TX500440"/>
        <s v="TX500441"/>
        <s v="TX500442"/>
        <s v="TX500443"/>
        <s v="TX500444"/>
        <s v="TX500445"/>
        <s v="TX500446"/>
        <s v="TX500447"/>
        <s v="TX500448"/>
        <s v="TX500449"/>
        <s v="TX500450"/>
        <s v="TX500451"/>
        <s v="TX500452"/>
        <s v="TX500453"/>
        <s v="TX500454"/>
        <s v="TX500455"/>
        <s v="TX500456"/>
        <s v="TX500457"/>
        <s v="TX500458"/>
        <s v="TX500459"/>
        <s v="TX500460"/>
        <s v="TX500461"/>
        <s v="TX500462"/>
        <s v="TX500463"/>
        <s v="TX500464"/>
        <s v="TX500465"/>
        <s v="TX500466"/>
        <s v="TX500467"/>
        <s v="TX500468"/>
        <s v="TX500469"/>
        <s v="TX500470"/>
        <s v="TX500471"/>
        <s v="TX500472"/>
        <s v="TX500473"/>
        <s v="TX500474"/>
        <s v="TX500475"/>
        <s v="TX500476"/>
        <s v="TX500477"/>
        <s v="TX500478"/>
        <s v="TX500479"/>
        <s v="TX500480"/>
        <s v="TX500481"/>
        <s v="TX500482"/>
        <s v="TX500483"/>
        <s v="TX500484"/>
        <s v="TX500485"/>
        <s v="TX500486"/>
        <s v="TX500487"/>
        <s v="TX500488"/>
        <s v="TX500489"/>
        <s v="TX500490"/>
        <s v="TX500491"/>
        <s v="TX500492"/>
        <s v="TX500493"/>
        <s v="TX500494"/>
        <s v="TX500495"/>
        <s v="TX500496"/>
        <s v="TX500497"/>
        <s v="TX500498"/>
        <s v="TX500499"/>
        <s v="TX500500"/>
        <s v="TX500501"/>
        <s v="TX500502"/>
        <s v="TX500503"/>
        <s v="TX500504"/>
        <s v="TX500505"/>
        <s v="TX500506"/>
        <s v="TX500507"/>
        <s v="TX500508"/>
        <s v="TX500509"/>
        <s v="TX500510"/>
        <s v="TX500511"/>
        <s v="TX500512"/>
        <s v="TX500513"/>
        <s v="TX500514"/>
        <s v="TX500515"/>
        <s v="TX500516"/>
        <s v="TX500517"/>
        <s v="TX500518"/>
        <s v="TX500519"/>
        <s v="TX500520"/>
        <s v="TX500521"/>
        <s v="TX500522"/>
        <s v="TX500523"/>
        <s v="TX500524"/>
        <s v="TX500525"/>
        <s v="TX500526"/>
        <s v="TX500527"/>
        <s v="TX500528"/>
        <s v="TX500529"/>
        <s v="TX500530"/>
        <s v="TX500531"/>
        <s v="TX500532"/>
        <s v="TX500533"/>
        <s v="TX500534"/>
        <s v="TX500535"/>
        <s v="TX500536"/>
        <s v="TX500537"/>
        <s v="TX500538"/>
        <s v="TX500539"/>
        <s v="TX500540"/>
        <s v="TX500541"/>
        <s v="TX500542"/>
        <s v="TX500543"/>
        <s v="TX500544"/>
        <s v="TX500545"/>
        <s v="TX500546"/>
        <s v="TX500547"/>
        <s v="TX500548"/>
        <s v="TX500549"/>
        <s v="TX500550"/>
        <s v="TX500551"/>
        <s v="TX500552"/>
        <s v="TX500553"/>
        <s v="TX500554"/>
        <s v="TX500555"/>
        <s v="TX500556"/>
        <s v="TX500557"/>
        <s v="TX500558"/>
        <s v="TX500559"/>
        <s v="TX500560"/>
        <s v="TX500561"/>
        <s v="TX500562"/>
        <s v="TX500563"/>
        <s v="TX500564"/>
        <s v="TX500565"/>
        <s v="TX500566"/>
        <s v="TX500567"/>
        <s v="TX500568"/>
        <s v="TX500569"/>
        <s v="TX500570"/>
        <s v="TX500571"/>
        <s v="TX500572"/>
        <s v="TX500573"/>
        <s v="TX500574"/>
        <s v="TX500575"/>
        <s v="TX500576"/>
        <s v="TX500577"/>
        <s v="TX500578"/>
        <s v="TX500579"/>
        <s v="TX500580"/>
        <s v="TX500581"/>
        <s v="TX500582"/>
        <s v="TX500583"/>
        <s v="TX500584"/>
        <s v="TX500585"/>
        <s v="TX500586"/>
        <s v="TX500587"/>
        <s v="TX500588"/>
        <s v="TX500589"/>
        <s v="TX500590"/>
        <s v="TX500591"/>
        <s v="TX500592"/>
        <s v="TX500593"/>
        <s v="TX500594"/>
        <s v="TX500595"/>
        <s v="TX500596"/>
        <s v="TX500597"/>
        <s v="TX500598"/>
        <s v="TX500599"/>
        <s v="TX500600"/>
        <s v="TX500601"/>
        <s v="TX500602"/>
        <s v="TX500603"/>
        <s v="TX500604"/>
        <s v="TX500605"/>
        <s v="TX500606"/>
        <s v="TX500607"/>
        <s v="TX500608"/>
        <s v="TX500609"/>
        <s v="TX500610"/>
        <s v="TX500611"/>
        <s v="TX500612"/>
        <s v="TX500613"/>
        <s v="TX500614"/>
        <s v="TX500615"/>
        <s v="TX500616"/>
        <s v="TX500617"/>
        <s v="TX500618"/>
        <s v="TX500619"/>
        <s v="TX500620"/>
        <s v="TX500621"/>
        <s v="TX500622"/>
        <s v="TX500623"/>
        <s v="TX500624"/>
        <s v="TX500625"/>
        <s v="TX500626"/>
        <s v="TX500627"/>
        <s v="TX500628"/>
        <s v="TX500629"/>
        <s v="TX500630"/>
        <s v="TX500631"/>
        <s v="TX500632"/>
        <s v="TX500633"/>
        <s v="TX500634"/>
        <s v="TX500635"/>
        <s v="TX500636"/>
        <s v="TX500637"/>
        <s v="TX500638"/>
        <s v="TX500639"/>
        <s v="TX500640"/>
        <s v="TX500641"/>
        <s v="TX500642"/>
        <s v="TX500643"/>
        <s v="TX500644"/>
        <s v="TX500645"/>
        <s v="TX500646"/>
        <s v="TX500647"/>
        <s v="TX500648"/>
        <s v="TX500649"/>
        <s v="TX500650"/>
        <s v="TX500651"/>
        <s v="TX500652"/>
        <s v="TX500653"/>
        <s v="TX500654"/>
        <s v="TX500655"/>
        <s v="TX500656"/>
        <s v="TX500657"/>
        <s v="TX500658"/>
        <s v="TX500659"/>
        <s v="TX500660"/>
        <s v="TX500661"/>
        <s v="TX500662"/>
        <s v="TX500663"/>
        <s v="TX500664"/>
        <s v="TX500665"/>
        <s v="TX500666"/>
        <s v="TX500667"/>
        <s v="TX500668"/>
        <s v="TX500669"/>
        <s v="TX500670"/>
        <s v="TX500671"/>
        <s v="TX500672"/>
        <s v="TX500673"/>
        <s v="TX500674"/>
        <s v="TX500675"/>
        <s v="TX500676"/>
        <s v="TX500677"/>
        <s v="TX500678"/>
        <s v="TX500679"/>
        <s v="TX500680"/>
        <s v="TX500681"/>
        <s v="TX500682"/>
        <s v="TX500683"/>
        <s v="TX500684"/>
        <s v="TX500685"/>
        <s v="TX500686"/>
        <s v="TX500687"/>
        <s v="TX500688"/>
        <s v="TX500689"/>
        <s v="TX500690"/>
        <s v="TX500691"/>
        <s v="TX500692"/>
        <s v="TX500693"/>
        <s v="TX500694"/>
        <s v="TX500695"/>
        <s v="TX500696"/>
        <s v="TX500697"/>
        <s v="TX500698"/>
        <s v="TX500699"/>
        <s v="TX500700"/>
        <s v="TX500701"/>
        <s v="TX500702"/>
        <s v="TX500703"/>
        <s v="TX500704"/>
        <s v="TX500705"/>
        <s v="TX500706"/>
        <s v="TX500707"/>
        <s v="TX500708"/>
        <s v="TX500709"/>
        <s v="TX500710"/>
        <s v="TX500711"/>
        <s v="TX500712"/>
        <s v="TX500713"/>
        <s v="TX500714"/>
        <s v="TX500715"/>
        <s v="TX500716"/>
        <s v="TX500717"/>
        <s v="TX500718"/>
        <s v="TX500719"/>
        <s v="TX500720"/>
        <s v="TX500721"/>
        <s v="TX500722"/>
        <s v="TX500723"/>
        <s v="TX500724"/>
        <s v="TX500725"/>
        <s v="TX500726"/>
        <s v="TX500727"/>
        <s v="TX500728"/>
        <s v="TX500729"/>
        <s v="TX500730"/>
        <s v="TX500731"/>
        <s v="TX500732"/>
        <s v="TX500733"/>
        <s v="TX500734"/>
        <s v="TX500735"/>
        <s v="TX500736"/>
        <s v="TX500737"/>
        <s v="TX500738"/>
        <s v="TX500739"/>
        <s v="TX500740"/>
        <s v="TX500741"/>
        <s v="TX500742"/>
        <s v="TX500743"/>
        <s v="TX500744"/>
        <s v="TX500745"/>
        <s v="TX500746"/>
        <s v="TX500747"/>
        <s v="TX500748"/>
        <s v="TX500749"/>
        <s v="TX500750"/>
        <s v="TX500751"/>
        <s v="TX500752"/>
        <s v="TX500753"/>
        <s v="TX500754"/>
        <s v="TX500755"/>
        <s v="TX500756"/>
        <s v="TX500757"/>
        <s v="TX500758"/>
        <s v="TX500759"/>
        <s v="TX500760"/>
        <s v="TX500761"/>
        <s v="TX500762"/>
        <s v="TX500763"/>
        <s v="TX500764"/>
        <s v="TX500765"/>
        <s v="TX500766"/>
        <s v="TX500767"/>
        <s v="TX500768"/>
        <s v="TX500769"/>
        <s v="TX500770"/>
        <s v="TX500771"/>
        <s v="TX500772"/>
        <s v="TX500773"/>
        <s v="TX500774"/>
        <s v="TX500775"/>
        <s v="TX500776"/>
        <s v="TX500777"/>
        <s v="TX500778"/>
        <s v="TX500779"/>
        <s v="TX500780"/>
        <s v="TX500781"/>
        <s v="TX500782"/>
        <s v="TX500783"/>
        <s v="TX500784"/>
        <s v="TX500785"/>
        <s v="TX500786"/>
        <s v="TX500787"/>
        <s v="TX500788"/>
        <s v="TX500789"/>
        <s v="TX500790"/>
        <s v="TX500791"/>
        <s v="TX500792"/>
        <s v="TX500793"/>
        <s v="TX500794"/>
        <s v="TX500795"/>
        <s v="TX500796"/>
        <s v="TX500797"/>
        <s v="TX500798"/>
        <s v="TX500799"/>
        <s v="TX500800"/>
        <s v="TX500801"/>
        <s v="TX500802"/>
        <s v="TX500803"/>
        <s v="TX500804"/>
        <s v="TX500805"/>
        <s v="TX500806"/>
        <s v="TX500807"/>
        <s v="TX500808"/>
        <s v="TX500809"/>
        <s v="TX500810"/>
        <s v="TX500811"/>
        <s v="TX500812"/>
        <s v="TX500813"/>
        <s v="TX500814"/>
        <s v="TX500815"/>
        <s v="TX500816"/>
        <s v="TX500817"/>
        <s v="TX500818"/>
        <s v="TX500819"/>
        <s v="TX500820"/>
        <s v="TX500821"/>
        <s v="TX500822"/>
        <s v="TX500823"/>
        <s v="TX500824"/>
        <s v="TX500825"/>
        <s v="TX500826"/>
        <s v="TX500827"/>
        <s v="TX500828"/>
        <s v="TX500829"/>
        <s v="TX500830"/>
        <s v="TX500831"/>
        <s v="TX500832"/>
        <s v="TX500833"/>
        <s v="TX500834"/>
        <s v="TX500835"/>
        <s v="TX500836"/>
        <s v="TX500837"/>
        <s v="TX500838"/>
        <s v="TX500839"/>
        <s v="TX500840"/>
        <s v="TX500841"/>
        <s v="TX500842"/>
        <s v="TX500843"/>
        <s v="TX500844"/>
        <s v="TX500845"/>
        <s v="TX500846"/>
        <s v="TX500847"/>
        <s v="TX500848"/>
        <s v="TX500849"/>
        <s v="TX500850"/>
        <s v="TX500851"/>
        <s v="TX500852"/>
        <s v="TX500853"/>
        <s v="TX500854"/>
        <s v="TX500855"/>
        <s v="TX500856"/>
        <s v="TX500857"/>
        <s v="TX500858"/>
        <s v="TX500859"/>
        <s v="TX500860"/>
        <s v="TX500861"/>
        <s v="TX500862"/>
        <s v="TX500863"/>
        <s v="TX500864"/>
        <s v="TX500865"/>
        <s v="TX500866"/>
        <s v="TX500867"/>
        <s v="TX500868"/>
        <s v="TX500869"/>
        <s v="TX500870"/>
        <s v="TX500871"/>
        <s v="TX500872"/>
        <s v="TX500873"/>
        <s v="TX500874"/>
        <s v="TX500875"/>
        <s v="TX500876"/>
        <s v="TX500877"/>
        <s v="TX500878"/>
        <s v="TX500879"/>
        <s v="TX500880"/>
        <s v="TX500881"/>
        <s v="TX500882"/>
        <s v="TX500883"/>
        <s v="TX500884"/>
        <s v="TX500885"/>
        <s v="TX500886"/>
        <s v="TX500887"/>
        <s v="TX500888"/>
        <s v="TX500889"/>
        <s v="TX500890"/>
        <s v="TX500891"/>
        <s v="TX500892"/>
        <s v="TX500893"/>
        <s v="TX500894"/>
        <s v="TX500895"/>
        <s v="TX500896"/>
        <s v="TX500897"/>
        <s v="TX500898"/>
        <s v="TX500899"/>
        <s v="TX500900"/>
        <s v="TX500901"/>
        <s v="TX500902"/>
        <s v="TX500903"/>
        <s v="TX500904"/>
        <s v="TX500905"/>
        <s v="TX500906"/>
        <s v="TX500907"/>
        <s v="TX500908"/>
        <s v="TX500909"/>
        <s v="TX500910"/>
        <s v="TX500911"/>
        <s v="TX500912"/>
        <s v="TX500913"/>
        <s v="TX500914"/>
        <s v="TX500915"/>
        <s v="TX500916"/>
        <s v="TX500917"/>
        <s v="TX500918"/>
        <s v="TX500919"/>
        <s v="TX500920"/>
        <s v="TX500921"/>
        <s v="TX500922"/>
        <s v="TX500923"/>
        <s v="TX500924"/>
        <s v="TX500925"/>
        <s v="TX500926"/>
        <s v="TX500927"/>
        <s v="TX500928"/>
        <s v="TX500929"/>
        <s v="TX500930"/>
        <s v="TX500931"/>
        <s v="TX500932"/>
        <s v="TX500933"/>
        <s v="TX500934"/>
        <s v="TX500935"/>
        <s v="TX500936"/>
        <s v="TX500937"/>
        <s v="TX500938"/>
        <s v="TX500939"/>
        <s v="TX500940"/>
        <s v="TX500941"/>
        <s v="TX500942"/>
        <s v="TX500943"/>
        <s v="TX500944"/>
        <s v="TX500945"/>
        <s v="TX500946"/>
        <s v="TX500947"/>
        <s v="TX500948"/>
        <s v="TX500949"/>
        <s v="TX500950"/>
        <s v="TX500951"/>
        <s v="TX500952"/>
        <s v="TX500953"/>
        <s v="TX500954"/>
        <s v="TX500955"/>
        <s v="TX500956"/>
        <s v="TX500957"/>
        <s v="TX500958"/>
        <s v="TX500959"/>
        <s v="TX500960"/>
        <s v="TX500961"/>
        <s v="TX500962"/>
        <s v="TX500963"/>
        <s v="TX500964"/>
        <s v="TX500965"/>
        <s v="TX500966"/>
        <s v="TX500967"/>
        <s v="TX500968"/>
        <s v="TX500969"/>
        <s v="TX500970"/>
        <s v="TX500971"/>
        <s v="TX500972"/>
        <s v="TX500973"/>
        <s v="TX500974"/>
        <s v="TX500975"/>
        <s v="TX500976"/>
        <s v="TX500977"/>
        <s v="TX500978"/>
        <s v="TX500979"/>
        <s v="TX500980"/>
        <s v="TX500981"/>
        <s v="TX500982"/>
        <s v="TX500983"/>
        <s v="TX500984"/>
        <s v="TX500985"/>
        <s v="TX500986"/>
        <s v="TX500987"/>
        <s v="TX500988"/>
        <s v="TX500989"/>
        <s v="TX500990"/>
        <s v="TX500991"/>
        <s v="TX500992"/>
        <s v="TX500993"/>
        <s v="TX500994"/>
        <s v="TX500995"/>
        <s v="TX500996"/>
        <s v="TX500997"/>
        <s v="TX500998"/>
        <s v="TX500999"/>
        <s v="TX501000"/>
        <s v="TX501001"/>
        <s v="TX501002"/>
        <s v="TX501003"/>
        <s v="TX501004"/>
        <s v="TX501005"/>
        <s v="TX501006"/>
        <s v="TX501007"/>
        <s v="TX501008"/>
        <s v="TX501009"/>
        <s v="TX501010"/>
        <s v="TX501011"/>
        <s v="TX501012"/>
        <s v="TX501013"/>
        <s v="TX501014"/>
        <s v="TX501015"/>
        <s v="TX501016"/>
        <s v="TX501017"/>
        <s v="TX501018"/>
        <s v="TX501019"/>
        <s v="TX501020"/>
        <s v="TX501021"/>
        <s v="TX501022"/>
        <s v="TX501023"/>
        <s v="TX501024"/>
        <s v="TX501025"/>
        <s v="TX501026"/>
        <s v="TX501027"/>
        <s v="TX501028"/>
        <s v="TX501029"/>
        <s v="TX501030"/>
        <s v="TX501031"/>
        <s v="TX501032"/>
        <s v="TX501033"/>
        <s v="TX501034"/>
        <s v="TX501035"/>
        <s v="TX501036"/>
        <s v="TX501037"/>
        <s v="TX501038"/>
        <s v="TX501039"/>
        <s v="TX501040"/>
        <s v="TX501041"/>
        <s v="TX501042"/>
        <s v="TX501043"/>
        <s v="TX501044"/>
        <s v="TX501045"/>
        <s v="TX501046"/>
        <s v="TX501047"/>
        <s v="TX501048"/>
        <s v="TX501049"/>
        <s v="TX501050"/>
        <s v="TX501051"/>
        <s v="TX501052"/>
        <s v="TX501053"/>
        <s v="TX501054"/>
        <s v="TX501055"/>
        <s v="TX501056"/>
        <s v="TX501057"/>
        <s v="TX501058"/>
        <s v="TX501059"/>
        <s v="TX501060"/>
        <s v="TX501061"/>
        <s v="TX501062"/>
        <s v="TX501063"/>
        <s v="TX501064"/>
        <s v="TX501065"/>
        <s v="TX501066"/>
        <s v="TX501067"/>
        <s v="TX501068"/>
        <s v="TX501069"/>
        <s v="TX501070"/>
        <s v="TX501071"/>
        <s v="TX501072"/>
        <s v="TX501073"/>
        <s v="TX501074"/>
        <s v="TX501075"/>
        <s v="TX501076"/>
        <s v="TX501077"/>
        <s v="TX501078"/>
        <s v="TX501079"/>
        <s v="TX501080"/>
        <s v="TX501081"/>
        <s v="TX501082"/>
        <s v="TX501083"/>
        <s v="TX501084"/>
        <s v="TX501085"/>
        <s v="TX501086"/>
        <s v="TX501087"/>
        <s v="TX501088"/>
        <s v="TX501089"/>
        <s v="TX501090"/>
        <s v="TX501091"/>
        <s v="TX501092"/>
        <s v="TX501093"/>
        <s v="TX501094"/>
        <s v="TX501095"/>
        <s v="TX501096"/>
        <s v="TX501097"/>
        <s v="TX501098"/>
        <s v="TX501099"/>
        <s v="TX501100"/>
        <s v="TX501101"/>
        <s v="TX501102"/>
        <s v="TX501103"/>
        <s v="TX501104"/>
        <s v="TX501105"/>
        <s v="TX501106"/>
        <s v="TX501107"/>
        <s v="TX501108"/>
        <s v="TX501109"/>
        <s v="TX501110"/>
        <s v="TX501111"/>
        <s v="TX501112"/>
        <s v="TX501113"/>
        <s v="TX501114"/>
        <s v="TX501115"/>
        <s v="TX501116"/>
        <s v="TX501117"/>
        <s v="TX501118"/>
        <s v="TX501119"/>
        <s v="TX501120"/>
        <s v="TX501121"/>
        <s v="TX501122"/>
        <s v="TX501123"/>
        <s v="TX501124"/>
        <s v="TX501125"/>
        <s v="TX501126"/>
        <s v="TX501127"/>
        <s v="TX501128"/>
        <s v="TX501129"/>
        <s v="TX501130"/>
        <s v="TX501131"/>
        <s v="TX501132"/>
        <s v="TX501133"/>
        <s v="TX501134"/>
        <s v="TX501135"/>
        <s v="TX501136"/>
        <s v="TX501137"/>
        <s v="TX501138"/>
        <s v="TX501139"/>
        <s v="TX501140"/>
        <s v="TX501141"/>
        <s v="TX501142"/>
        <s v="TX501143"/>
        <s v="TX501144"/>
        <s v="TX501145"/>
        <s v="TX501146"/>
        <s v="TX501147"/>
        <s v="TX501148"/>
        <s v="TX501149"/>
        <s v="TX501150"/>
        <s v="TX501151"/>
        <s v="TX501152"/>
        <s v="TX501153"/>
        <s v="TX501154"/>
        <s v="TX501155"/>
        <s v="TX501156"/>
        <s v="TX501157"/>
        <s v="TX501158"/>
        <s v="TX501159"/>
        <s v="TX501160"/>
        <s v="TX501161"/>
        <s v="TX501162"/>
        <s v="TX501163"/>
        <s v="TX501164"/>
        <s v="TX501165"/>
        <s v="TX501166"/>
        <s v="TX501167"/>
        <s v="TX501168"/>
        <s v="TX501169"/>
        <s v="TX501170"/>
        <s v="TX501171"/>
        <s v="TX501172"/>
        <s v="TX501173"/>
        <s v="TX501174"/>
        <s v="TX501175"/>
        <s v="TX501176"/>
        <s v="TX501177"/>
        <s v="TX501178"/>
        <s v="TX501179"/>
        <s v="TX501180"/>
        <s v="TX501181"/>
        <s v="TX501182"/>
        <s v="TX501183"/>
        <s v="TX501184"/>
        <s v="TX501185"/>
        <s v="TX501186"/>
        <s v="TX501187"/>
        <s v="TX501188"/>
        <s v="TX501189"/>
        <s v="TX501190"/>
        <s v="TX501191"/>
        <s v="TX501192"/>
        <s v="TX501193"/>
        <s v="TX501194"/>
        <s v="TX501195"/>
        <s v="TX501196"/>
        <s v="TX501197"/>
        <s v="TX501198"/>
        <s v="TX501199"/>
        <s v="TX501200"/>
        <s v="TX501201"/>
        <s v="TX501202"/>
        <s v="TX501203"/>
        <s v="TX501204"/>
        <s v="TX501205"/>
        <s v="TX501206"/>
        <s v="TX501207"/>
        <s v="TX501208"/>
        <s v="TX501209"/>
        <s v="TX501210"/>
        <s v="TX501211"/>
        <s v="TX501212"/>
        <s v="TX501213"/>
        <s v="TX501214"/>
        <s v="TX501215"/>
        <s v="TX501216"/>
        <s v="TX501217"/>
        <s v="TX501218"/>
        <s v="TX501219"/>
        <s v="TX501220"/>
        <s v="TX501221"/>
        <s v="TX501222"/>
        <s v="TX501223"/>
        <s v="TX501224"/>
        <s v="TX501225"/>
        <s v="TX501226"/>
        <s v="TX501227"/>
        <s v="TX501228"/>
        <s v="TX501229"/>
        <s v="TX501230"/>
        <s v="TX501231"/>
        <s v="TX501232"/>
        <s v="TX501233"/>
        <s v="TX501234"/>
        <s v="TX501235"/>
        <s v="TX501236"/>
        <s v="TX501237"/>
        <s v="TX501238"/>
        <s v="TX501239"/>
        <s v="TX501240"/>
        <s v="TX501241"/>
        <s v="TX501242"/>
        <s v="TX501243"/>
        <s v="TX501244"/>
        <s v="TX501245"/>
        <s v="TX501246"/>
        <s v="TX501247"/>
        <s v="TX501248"/>
        <s v="TX501249"/>
        <s v="TX501250"/>
        <s v="TX501251"/>
        <s v="TX501252"/>
        <s v="TX501253"/>
        <s v="TX501254"/>
        <s v="TX501255"/>
        <s v="TX501256"/>
        <s v="TX501257"/>
        <s v="TX501258"/>
        <s v="TX501259"/>
        <s v="TX501260"/>
        <s v="TX501261"/>
        <s v="TX501262"/>
        <s v="TX501263"/>
        <s v="TX501264"/>
        <s v="TX501265"/>
        <s v="TX501266"/>
        <s v="TX501267"/>
        <s v="TX501268"/>
        <s v="TX501269"/>
        <s v="TX501270"/>
        <s v="TX501271"/>
        <s v="TX501272"/>
        <s v="TX501273"/>
        <s v="TX501274"/>
        <s v="TX501275"/>
        <s v="TX501276"/>
        <s v="TX501277"/>
        <s v="TX501278"/>
        <s v="TX501279"/>
        <s v="TX501280"/>
        <s v="TX501281"/>
        <s v="TX501282"/>
        <s v="TX501283"/>
        <s v="TX501284"/>
        <s v="TX501285"/>
        <s v="TX501286"/>
        <s v="TX501287"/>
        <s v="TX501288"/>
        <s v="TX501289"/>
        <s v="TX501290"/>
        <s v="TX501291"/>
        <s v="TX501292"/>
        <s v="TX501293"/>
        <s v="TX501294"/>
        <s v="TX501295"/>
        <s v="TX501296"/>
        <s v="TX501297"/>
        <s v="TX501298"/>
        <s v="TX501299"/>
        <s v="TX501300"/>
        <s v="TX501301"/>
        <s v="TX501302"/>
        <s v="TX501303"/>
        <s v="TX501304"/>
        <s v="TX501305"/>
        <s v="TX501306"/>
        <s v="TX501307"/>
        <s v="TX501308"/>
        <s v="TX501309"/>
        <s v="TX501310"/>
        <s v="TX501311"/>
        <s v="TX501312"/>
        <s v="TX501313"/>
        <s v="TX501314"/>
        <s v="TX501315"/>
        <s v="TX501316"/>
        <s v="TX501317"/>
        <s v="TX501318"/>
        <s v="TX501319"/>
        <s v="TX501320"/>
        <s v="TX501321"/>
        <s v="TX501322"/>
        <s v="TX501323"/>
        <s v="TX501324"/>
        <s v="TX501325"/>
        <s v="TX501326"/>
        <s v="TX501327"/>
        <s v="TX501328"/>
        <s v="TX501329"/>
        <s v="TX501330"/>
        <s v="TX501331"/>
        <s v="TX501332"/>
        <s v="TX501333"/>
        <s v="TX501334"/>
        <s v="TX501335"/>
        <s v="TX501336"/>
        <s v="TX501337"/>
        <s v="TX501338"/>
        <s v="TX501339"/>
        <s v="TX501340"/>
        <s v="TX501341"/>
        <s v="TX501342"/>
        <s v="TX501343"/>
        <s v="TX501344"/>
        <s v="TX501345"/>
        <s v="TX501346"/>
        <s v="TX501347"/>
        <s v="TX501348"/>
        <s v="TX501349"/>
        <s v="TX501350"/>
        <s v="TX501351"/>
        <s v="TX501352"/>
        <s v="TX501353"/>
        <s v="TX501354"/>
        <s v="TX501355"/>
        <s v="TX501356"/>
        <s v="TX501357"/>
        <s v="TX501358"/>
        <s v="TX501359"/>
        <s v="TX501360"/>
        <s v="TX501361"/>
        <s v="TX501362"/>
        <s v="TX501363"/>
        <s v="TX501364"/>
        <s v="TX501365"/>
        <s v="TX501366"/>
        <s v="TX501367"/>
        <s v="TX501368"/>
        <s v="TX501369"/>
        <s v="TX501370"/>
        <s v="TX501371"/>
        <s v="TX501372"/>
        <s v="TX501373"/>
        <s v="TX501374"/>
        <s v="TX501375"/>
        <s v="TX501376"/>
        <s v="TX501377"/>
        <s v="TX501378"/>
        <s v="TX501379"/>
        <s v="TX501380"/>
        <s v="TX501381"/>
        <s v="TX501382"/>
        <s v="TX501383"/>
        <s v="TX501384"/>
        <s v="TX501385"/>
        <s v="TX501386"/>
        <s v="TX501387"/>
        <s v="TX501388"/>
        <s v="TX501389"/>
        <s v="TX501390"/>
        <s v="TX501391"/>
        <s v="TX501392"/>
        <s v="TX501393"/>
        <s v="TX501394"/>
        <s v="TX501395"/>
        <s v="TX501396"/>
        <s v="TX501397"/>
        <s v="TX501398"/>
        <s v="TX501399"/>
        <s v="TX501400"/>
        <s v="TX501401"/>
        <s v="TX501402"/>
        <s v="TX501403"/>
        <s v="TX501404"/>
        <s v="TX501405"/>
        <s v="TX501406"/>
        <s v="TX501407"/>
        <s v="TX501408"/>
        <s v="TX501409"/>
        <s v="TX501410"/>
        <s v="TX501411"/>
        <s v="TX501412"/>
        <s v="TX501413"/>
        <s v="TX501414"/>
        <s v="TX501415"/>
        <s v="TX501416"/>
        <s v="TX501417"/>
        <s v="TX501418"/>
        <s v="TX501419"/>
        <s v="TX501420"/>
        <s v="TX501421"/>
        <s v="TX501422"/>
        <s v="TX501423"/>
        <s v="TX501424"/>
        <s v="TX501425"/>
        <s v="TX501426"/>
        <s v="TX501427"/>
        <s v="TX501428"/>
        <s v="TX501429"/>
        <s v="TX501430"/>
        <s v="TX501431"/>
        <s v="TX501432"/>
        <s v="TX501433"/>
        <s v="TX501434"/>
        <s v="TX501435"/>
        <s v="TX501436"/>
        <s v="TX501437"/>
        <s v="TX501438"/>
        <s v="TX501439"/>
        <s v="TX501440"/>
        <s v="TX501441"/>
        <s v="TX501442"/>
        <s v="TX501443"/>
        <s v="TX501444"/>
        <s v="TX501445"/>
        <s v="TX501446"/>
        <s v="TX501447"/>
        <s v="TX501448"/>
        <s v="TX501449"/>
        <s v="TX501450"/>
        <s v="TX501451"/>
        <s v="TX501452"/>
        <s v="TX501453"/>
        <s v="TX501454"/>
        <s v="TX501455"/>
        <s v="TX501456"/>
        <s v="TX501457"/>
        <s v="TX501458"/>
        <s v="TX501459"/>
        <s v="TX501460"/>
        <s v="TX501461"/>
        <s v="TX501462"/>
        <s v="TX501463"/>
        <s v="TX501464"/>
        <s v="TX501465"/>
        <s v="TX501466"/>
        <s v="TX501467"/>
        <s v="TX501468"/>
        <s v="TX501469"/>
        <s v="TX501470"/>
        <s v="TX501471"/>
        <s v="TX501472"/>
        <s v="TX501473"/>
        <s v="TX501474"/>
        <s v="TX501475"/>
        <s v="TX501476"/>
        <s v="TX501477"/>
        <s v="TX501478"/>
        <s v="TX501479"/>
        <s v="TX501480"/>
        <s v="TX501481"/>
        <s v="TX501482"/>
        <s v="TX501483"/>
        <s v="TX501484"/>
        <s v="TX501485"/>
        <s v="TX501486"/>
        <s v="TX501487"/>
        <s v="TX501488"/>
        <s v="TX501489"/>
        <s v="TX501490"/>
        <s v="TX501491"/>
        <s v="TX501492"/>
        <s v="TX501493"/>
        <s v="TX501494"/>
        <s v="TX501495"/>
        <s v="TX501496"/>
        <s v="TX501497"/>
        <s v="TX501498"/>
        <s v="TX501499"/>
        <s v="TX501500"/>
        <s v="TX501501"/>
        <s v="TX501502"/>
        <s v="TX501503"/>
        <s v="TX501504"/>
        <s v="TX501505"/>
        <s v="TX501506"/>
        <s v="TX501507"/>
        <s v="TX501508"/>
        <s v="TX501509"/>
        <s v="TX501510"/>
        <s v="TX501511"/>
        <s v="TX501512"/>
        <s v="TX501513"/>
        <s v="TX501514"/>
        <s v="TX501515"/>
        <s v="TX501516"/>
        <s v="TX501517"/>
        <s v="TX501518"/>
        <s v="TX501519"/>
        <s v="TX501520"/>
        <s v="TX501521"/>
        <s v="TX501522"/>
        <s v="TX501523"/>
        <s v="TX501524"/>
        <s v="TX501525"/>
        <s v="TX501526"/>
        <s v="TX501527"/>
        <s v="TX501528"/>
        <s v="TX501529"/>
        <s v="TX501530"/>
        <s v="TX501531"/>
        <s v="TX501532"/>
        <s v="TX501533"/>
        <s v="TX501534"/>
        <s v="TX501535"/>
        <s v="TX501536"/>
        <s v="TX501537"/>
        <s v="TX501538"/>
        <s v="TX501539"/>
        <s v="TX501540"/>
        <s v="TX501541"/>
        <s v="TX501542"/>
        <s v="TX501543"/>
        <s v="TX501544"/>
        <s v="TX501545"/>
        <s v="TX501546"/>
        <s v="TX501547"/>
        <s v="TX501548"/>
        <s v="TX501549"/>
        <s v="TX501550"/>
        <s v="TX501551"/>
        <s v="TX501552"/>
        <s v="TX501553"/>
        <s v="TX501554"/>
        <s v="TX501555"/>
        <s v="TX501556"/>
        <s v="TX501557"/>
        <s v="TX501558"/>
        <s v="TX501559"/>
        <s v="TX501560"/>
        <s v="TX501561"/>
        <s v="TX501562"/>
        <s v="TX501563"/>
        <s v="TX501564"/>
        <s v="TX501565"/>
        <s v="TX501566"/>
        <s v="TX501567"/>
        <s v="TX501568"/>
        <s v="TX501569"/>
        <s v="TX501570"/>
        <s v="TX501571"/>
        <s v="TX501572"/>
        <s v="TX501573"/>
        <s v="TX501574"/>
        <s v="TX501575"/>
        <s v="TX501576"/>
        <s v="TX501577"/>
        <s v="TX501578"/>
        <s v="TX501579"/>
        <s v="TX501580"/>
        <s v="TX501581"/>
        <s v="TX501582"/>
        <s v="TX501583"/>
        <s v="TX501584"/>
        <s v="TX501585"/>
        <s v="TX501586"/>
        <s v="TX501587"/>
        <s v="TX501588"/>
        <s v="TX501589"/>
        <s v="TX501590"/>
        <s v="TX501591"/>
        <s v="TX501592"/>
        <s v="TX501593"/>
        <s v="TX501594"/>
        <s v="TX501595"/>
        <s v="TX501596"/>
        <s v="TX501597"/>
        <s v="TX501598"/>
        <s v="TX501599"/>
        <s v="TX501600"/>
        <s v="TX501601"/>
        <s v="TX501602"/>
        <s v="TX501603"/>
        <s v="TX501604"/>
        <s v="TX501605"/>
        <s v="TX501606"/>
        <s v="TX501607"/>
        <s v="TX501608"/>
        <s v="TX501609"/>
        <s v="TX501610"/>
        <s v="TX501611"/>
        <s v="TX501612"/>
        <s v="TX501613"/>
        <s v="TX501614"/>
        <s v="TX501615"/>
        <s v="TX501616"/>
        <s v="TX501617"/>
        <s v="TX501618"/>
        <s v="TX501619"/>
        <s v="TX501620"/>
        <s v="TX501621"/>
        <s v="TX501622"/>
        <s v="TX501623"/>
        <s v="TX501624"/>
        <s v="TX501625"/>
        <s v="TX501626"/>
        <s v="TX501627"/>
        <s v="TX501628"/>
        <s v="TX501629"/>
        <s v="TX501630"/>
        <s v="TX501631"/>
        <s v="TX501632"/>
        <s v="TX501633"/>
        <s v="TX501634"/>
        <s v="TX501635"/>
        <s v="TX501636"/>
        <s v="TX501637"/>
        <s v="TX501638"/>
        <s v="TX501639"/>
        <s v="TX501640"/>
        <s v="TX501641"/>
        <s v="TX501642"/>
        <s v="TX501643"/>
        <s v="TX501644"/>
        <s v="TX501645"/>
        <s v="TX501646"/>
        <s v="TX501647"/>
        <s v="TX501648"/>
        <s v="TX501649"/>
        <s v="TX501650"/>
        <s v="TX501651"/>
        <s v="TX501652"/>
        <s v="TX501653"/>
        <s v="TX501654"/>
        <s v="TX501655"/>
        <s v="TX501656"/>
        <s v="TX501657"/>
        <s v="TX501658"/>
        <s v="TX501659"/>
        <s v="TX501660"/>
        <s v="TX501661"/>
        <s v="TX501662"/>
        <s v="TX501663"/>
        <s v="TX501664"/>
        <s v="TX501665"/>
        <s v="TX501666"/>
        <s v="TX501667"/>
        <s v="TX501668"/>
        <s v="TX501669"/>
        <s v="TX501670"/>
        <s v="TX501671"/>
        <s v="TX501672"/>
        <s v="TX501673"/>
        <s v="TX501674"/>
        <s v="TX501675"/>
        <s v="TX501676"/>
        <s v="TX501677"/>
        <s v="TX501678"/>
        <s v="TX501679"/>
        <s v="TX501680"/>
        <s v="TX501681"/>
        <s v="TX501682"/>
        <s v="TX501683"/>
        <s v="TX501684"/>
        <s v="TX501685"/>
        <s v="TX501686"/>
        <s v="TX501687"/>
        <s v="TX501688"/>
        <s v="TX501689"/>
        <s v="TX501690"/>
        <s v="TX501691"/>
        <s v="TX501692"/>
        <s v="TX501693"/>
        <s v="TX501694"/>
        <s v="TX501695"/>
        <s v="TX501696"/>
        <s v="TX501697"/>
        <s v="TX501698"/>
        <s v="TX501699"/>
        <s v="TX501700"/>
        <s v="TX501701"/>
        <s v="TX501702"/>
        <s v="TX501703"/>
        <s v="TX501704"/>
        <s v="TX501705"/>
        <s v="TX501706"/>
        <s v="TX501707"/>
        <s v="TX501708"/>
        <s v="TX501709"/>
        <s v="TX501710"/>
        <s v="TX501711"/>
        <s v="TX501712"/>
        <s v="TX501713"/>
        <s v="TX501714"/>
        <s v="TX501715"/>
        <s v="TX501716"/>
        <s v="TX501717"/>
        <s v="TX501718"/>
        <s v="TX501719"/>
        <s v="TX501720"/>
        <s v="TX501721"/>
        <s v="TX501722"/>
        <s v="TX501723"/>
        <s v="TX501724"/>
        <s v="TX501725"/>
        <s v="TX501726"/>
        <s v="TX501727"/>
        <s v="TX501728"/>
        <s v="TX501729"/>
        <s v="TX501730"/>
        <s v="TX501731"/>
        <s v="TX501732"/>
        <s v="TX501733"/>
        <s v="TX501734"/>
        <s v="TX501735"/>
        <s v="TX501736"/>
        <s v="TX501737"/>
        <s v="TX501738"/>
        <s v="TX501739"/>
        <s v="TX501740"/>
        <s v="TX501741"/>
        <s v="TX501742"/>
        <s v="TX501743"/>
        <s v="TX501744"/>
        <s v="TX501745"/>
        <s v="TX501746"/>
        <s v="TX501747"/>
        <s v="TX501748"/>
        <s v="TX501749"/>
        <s v="TX501750"/>
        <s v="TX501751"/>
        <s v="TX501752"/>
        <s v="TX501753"/>
        <s v="TX501754"/>
        <s v="TX501755"/>
        <s v="TX501756"/>
        <s v="TX501757"/>
        <s v="TX501758"/>
        <s v="TX501759"/>
        <s v="TX501760"/>
        <s v="TX501761"/>
        <s v="TX501762"/>
        <s v="TX501763"/>
        <s v="TX501764"/>
        <s v="TX501765"/>
        <s v="TX501766"/>
        <s v="TX501767"/>
        <s v="TX501768"/>
        <s v="TX501769"/>
        <s v="TX501770"/>
        <s v="TX501771"/>
        <s v="TX501772"/>
        <s v="TX501773"/>
        <s v="TX501774"/>
        <s v="TX501775"/>
        <s v="TX501776"/>
        <s v="TX501777"/>
        <s v="TX501778"/>
        <s v="TX501779"/>
        <s v="TX501780"/>
        <s v="TX501781"/>
        <s v="TX501782"/>
        <s v="TX501783"/>
        <s v="TX501784"/>
        <s v="TX501785"/>
        <s v="TX501786"/>
        <s v="TX501787"/>
        <s v="TX501788"/>
        <s v="TX501789"/>
        <s v="TX501790"/>
        <s v="TX501791"/>
        <s v="TX501792"/>
        <s v="TX501793"/>
        <s v="TX501794"/>
        <s v="TX501795"/>
        <s v="TX501796"/>
        <s v="TX501797"/>
        <s v="TX501798"/>
        <s v="TX501799"/>
        <s v="TX501800"/>
        <s v="TX501801"/>
        <s v="TX501802"/>
        <s v="TX501803"/>
        <s v="TX501804"/>
        <s v="TX501805"/>
        <s v="TX501806"/>
        <s v="TX501807"/>
        <s v="TX501808"/>
        <s v="TX501809"/>
        <s v="TX501810"/>
        <s v="TX501811"/>
        <s v="TX501812"/>
        <s v="TX501813"/>
        <s v="TX501814"/>
        <s v="TX501815"/>
        <s v="TX501816"/>
        <s v="TX501817"/>
        <s v="TX501818"/>
        <s v="TX501819"/>
        <s v="TX501820"/>
        <s v="TX501821"/>
        <s v="TX501822"/>
        <s v="TX501823"/>
        <s v="TX501824"/>
        <s v="TX501825"/>
        <s v="TX501826"/>
        <s v="TX501827"/>
        <s v="TX501828"/>
        <s v="TX501829"/>
        <s v="TX501830"/>
        <s v="TX501831"/>
        <s v="TX501832"/>
        <s v="TX501833"/>
        <s v="TX501834"/>
        <s v="TX501835"/>
        <s v="TX501836"/>
        <s v="TX501837"/>
        <s v="TX501838"/>
        <s v="TX501839"/>
        <s v="TX501840"/>
        <s v="TX501841"/>
        <s v="TX501842"/>
        <s v="TX501843"/>
        <s v="TX501844"/>
        <s v="TX501845"/>
        <s v="TX501846"/>
        <s v="TX501847"/>
        <s v="TX501848"/>
        <s v="TX501849"/>
        <s v="TX501850"/>
        <s v="TX501851"/>
        <s v="TX501852"/>
        <s v="TX501853"/>
        <s v="TX501854"/>
        <s v="TX501855"/>
        <s v="TX501856"/>
        <s v="TX501857"/>
        <s v="TX501858"/>
        <s v="TX501859"/>
        <s v="TX501860"/>
        <s v="TX501861"/>
        <s v="TX501862"/>
        <s v="TX501863"/>
        <s v="TX501864"/>
        <s v="TX501865"/>
        <s v="TX501866"/>
        <s v="TX501867"/>
        <s v="TX501868"/>
        <s v="TX501869"/>
        <s v="TX501870"/>
        <s v="TX501871"/>
        <s v="TX501872"/>
        <s v="TX501873"/>
        <s v="TX501874"/>
        <s v="TX501875"/>
        <s v="TX501876"/>
        <s v="TX501877"/>
        <s v="TX501878"/>
        <s v="TX501879"/>
        <s v="TX501880"/>
        <s v="TX501881"/>
        <s v="TX501882"/>
        <s v="TX501883"/>
        <s v="TX501884"/>
        <s v="TX501885"/>
        <s v="TX501886"/>
        <s v="TX501887"/>
        <s v="TX501888"/>
        <s v="TX501889"/>
        <s v="TX501890"/>
        <s v="TX501891"/>
        <s v="TX501892"/>
        <s v="TX501893"/>
        <s v="TX501894"/>
        <s v="TX501895"/>
        <s v="TX501896"/>
        <s v="TX501897"/>
        <s v="TX501898"/>
        <s v="TX501899"/>
        <s v="TX501900"/>
        <s v="TX501901"/>
        <s v="TX501902"/>
        <s v="TX501903"/>
        <s v="TX501904"/>
        <s v="TX501905"/>
        <s v="TX501906"/>
        <s v="TX501907"/>
        <s v="TX501908"/>
        <s v="TX501909"/>
        <s v="TX501910"/>
        <s v="TX501911"/>
        <s v="TX501912"/>
        <s v="TX501913"/>
        <s v="TX501914"/>
        <s v="TX501915"/>
        <s v="TX501916"/>
        <s v="TX501917"/>
        <s v="TX501918"/>
        <s v="TX501919"/>
        <s v="TX501920"/>
        <s v="TX501921"/>
        <s v="TX501922"/>
        <s v="TX501923"/>
        <s v="TX501924"/>
        <s v="TX501925"/>
        <s v="TX501926"/>
        <s v="TX501927"/>
        <s v="TX501928"/>
        <s v="TX501929"/>
        <s v="TX501930"/>
        <s v="TX501931"/>
        <s v="TX501932"/>
        <s v="TX501933"/>
        <s v="TX501934"/>
        <s v="TX501935"/>
        <s v="TX501936"/>
        <s v="TX501937"/>
        <s v="TX501938"/>
        <s v="TX501939"/>
        <s v="TX501940"/>
        <s v="TX501941"/>
        <s v="TX501942"/>
        <s v="TX501943"/>
        <s v="TX501944"/>
        <s v="TX501945"/>
        <s v="TX501946"/>
        <s v="TX501947"/>
        <s v="TX501948"/>
        <s v="TX501949"/>
        <s v="TX501950"/>
        <s v="TX501951"/>
        <s v="TX501952"/>
        <s v="TX501953"/>
        <s v="TX501954"/>
        <s v="TX501955"/>
        <s v="TX501956"/>
        <s v="TX501957"/>
        <s v="TX501958"/>
        <s v="TX501959"/>
        <s v="TX501960"/>
        <s v="TX501961"/>
        <s v="TX501962"/>
        <s v="TX501963"/>
        <s v="TX501964"/>
        <s v="TX501965"/>
        <s v="TX501966"/>
        <s v="TX501967"/>
        <s v="TX501968"/>
        <s v="TX501969"/>
        <s v="TX501970"/>
        <s v="TX501971"/>
        <s v="TX501972"/>
        <s v="TX501973"/>
        <s v="TX501974"/>
        <s v="TX501975"/>
        <s v="TX501976"/>
        <s v="TX501977"/>
        <s v="TX501978"/>
        <s v="TX501979"/>
        <s v="TX501980"/>
        <s v="TX501981"/>
        <s v="TX501982"/>
        <s v="TX501983"/>
        <s v="TX501984"/>
        <s v="TX501985"/>
        <s v="TX501986"/>
        <s v="TX501987"/>
        <s v="TX501988"/>
        <s v="TX501989"/>
        <s v="TX501990"/>
        <s v="TX501991"/>
        <s v="TX501992"/>
        <s v="TX501993"/>
        <s v="TX501994"/>
        <s v="TX501995"/>
        <s v="TX501996"/>
        <s v="TX501997"/>
        <s v="TX501998"/>
        <s v="TX501999"/>
        <s v="TX502000"/>
        <s v="TX502001"/>
        <s v="TX502002"/>
        <s v="TX502003"/>
        <s v="TX502004"/>
        <s v="TX502005"/>
        <s v="TX502006"/>
        <s v="TX502007"/>
        <s v="TX502008"/>
        <s v="TX502009"/>
        <s v="TX502010"/>
        <s v="TX502011"/>
        <s v="TX502012"/>
        <s v="TX502013"/>
        <s v="TX502014"/>
        <s v="TX502015"/>
        <s v="TX502016"/>
        <s v="TX502017"/>
        <s v="TX502018"/>
        <s v="TX502019"/>
        <s v="TX502020"/>
        <s v="TX502021"/>
        <s v="TX502022"/>
        <s v="TX502023"/>
        <s v="TX502024"/>
        <s v="TX502025"/>
        <s v="TX502026"/>
        <s v="TX502027"/>
        <s v="TX502028"/>
        <s v="TX502029"/>
        <s v="TX502030"/>
        <s v="TX502031"/>
        <s v="TX502032"/>
        <s v="TX502033"/>
        <s v="TX502034"/>
        <s v="TX502035"/>
        <s v="TX502036"/>
        <s v="TX502037"/>
        <s v="TX502038"/>
        <s v="TX502039"/>
        <s v="TX502040"/>
        <s v="TX502041"/>
        <s v="TX502042"/>
        <s v="TX502043"/>
        <s v="TX502044"/>
        <s v="TX502045"/>
        <s v="TX502046"/>
        <s v="TX502047"/>
        <s v="TX502048"/>
        <s v="TX502049"/>
        <s v="TX502050"/>
        <s v="TX502051"/>
        <s v="TX502052"/>
        <s v="TX502053"/>
        <s v="TX502054"/>
        <s v="TX502055"/>
        <s v="TX502056"/>
        <s v="TX502057"/>
        <s v="TX502058"/>
        <s v="TX502059"/>
        <s v="TX502060"/>
        <s v="TX502061"/>
        <s v="TX502062"/>
        <s v="TX502063"/>
        <s v="TX502064"/>
        <s v="TX502065"/>
        <s v="TX502066"/>
        <s v="TX502067"/>
        <s v="TX502068"/>
        <s v="TX502069"/>
        <s v="TX502070"/>
        <s v="TX502071"/>
        <s v="TX502072"/>
        <s v="TX502073"/>
        <s v="TX502074"/>
        <s v="TX502075"/>
        <s v="TX502076"/>
        <s v="TX502077"/>
        <s v="TX502078"/>
        <s v="TX502079"/>
        <s v="TX502080"/>
        <s v="TX502081"/>
        <s v="TX502082"/>
        <s v="TX502083"/>
        <s v="TX502084"/>
        <s v="TX502085"/>
        <s v="TX502086"/>
        <s v="TX502087"/>
        <s v="TX502088"/>
        <s v="TX502089"/>
        <s v="TX502090"/>
        <s v="TX502091"/>
        <s v="TX502092"/>
        <s v="TX502093"/>
        <s v="TX502094"/>
        <s v="TX502095"/>
        <s v="TX502096"/>
        <s v="TX502097"/>
        <s v="TX502098"/>
        <s v="TX502099"/>
        <s v="TX502100"/>
        <s v="TX502101"/>
        <s v="TX502102"/>
        <s v="TX502103"/>
        <s v="TX502104"/>
        <s v="TX502105"/>
        <s v="TX502106"/>
        <s v="TX502107"/>
        <s v="TX502108"/>
        <s v="TX502109"/>
        <s v="TX502110"/>
        <s v="TX502111"/>
        <s v="TX502112"/>
        <s v="TX502113"/>
        <s v="TX502114"/>
        <s v="TX502115"/>
        <s v="TX502116"/>
        <s v="TX502117"/>
        <s v="TX502118"/>
        <s v="TX502119"/>
        <s v="TX502120"/>
        <s v="TX502121"/>
        <s v="TX502122"/>
        <s v="TX502123"/>
        <s v="TX502124"/>
        <s v="TX502125"/>
        <s v="TX502126"/>
        <s v="TX502127"/>
        <s v="TX502128"/>
        <s v="TX502129"/>
        <s v="TX502130"/>
        <s v="TX502131"/>
        <s v="TX502132"/>
        <s v="TX502133"/>
        <s v="TX502134"/>
        <s v="TX502135"/>
        <s v="TX502136"/>
        <s v="TX502137"/>
        <s v="TX502138"/>
        <s v="TX502139"/>
        <s v="TX502140"/>
        <s v="TX502141"/>
        <s v="TX502142"/>
        <s v="TX502143"/>
        <s v="TX502144"/>
        <s v="TX502145"/>
        <s v="TX502146"/>
        <s v="TX502147"/>
        <s v="TX502148"/>
        <s v="TX502149"/>
        <s v="TX502150"/>
        <s v="TX502151"/>
        <s v="TX502152"/>
        <s v="TX502153"/>
        <s v="TX502154"/>
        <s v="TX502155"/>
        <s v="TX502156"/>
        <s v="TX502157"/>
        <s v="TX502158"/>
        <s v="TX502159"/>
        <s v="TX502160"/>
        <s v="TX502161"/>
        <s v="TX502162"/>
        <s v="TX502163"/>
        <s v="TX502164"/>
        <s v="TX502165"/>
        <s v="TX502166"/>
        <s v="TX502167"/>
        <s v="TX502168"/>
        <s v="TX502169"/>
        <s v="TX502170"/>
        <s v="TX502171"/>
        <s v="TX502172"/>
        <s v="TX502173"/>
        <s v="TX502174"/>
        <s v="TX502175"/>
        <s v="TX502176"/>
        <s v="TX502177"/>
        <s v="TX502178"/>
        <s v="TX502179"/>
        <s v="TX502180"/>
        <s v="TX502181"/>
        <s v="TX502182"/>
        <s v="TX502183"/>
        <s v="TX502184"/>
        <s v="TX502185"/>
        <s v="TX502186"/>
        <s v="TX502187"/>
        <s v="TX502188"/>
        <s v="TX502189"/>
        <s v="TX502190"/>
        <s v="TX502191"/>
        <s v="TX502192"/>
        <s v="TX502193"/>
        <s v="TX502194"/>
        <s v="TX502195"/>
        <s v="TX502196"/>
        <s v="TX502197"/>
        <s v="TX502198"/>
        <s v="TX502199"/>
        <s v="TX502200"/>
        <s v="TX502201"/>
        <s v="TX502202"/>
        <s v="TX502203"/>
        <s v="TX502204"/>
        <s v="TX502205"/>
        <s v="TX502206"/>
        <s v="TX502207"/>
        <s v="TX502208"/>
        <s v="TX502209"/>
        <s v="TX502210"/>
        <s v="TX502211"/>
        <s v="TX502212"/>
        <s v="TX502213"/>
        <s v="TX502214"/>
        <s v="TX502215"/>
        <s v="TX502216"/>
        <s v="TX502217"/>
        <s v="TX502218"/>
        <s v="TX502219"/>
        <s v="TX502220"/>
        <s v="TX502221"/>
        <s v="TX502222"/>
        <s v="TX502223"/>
        <s v="TX502224"/>
        <s v="TX502225"/>
        <s v="TX502226"/>
        <s v="TX502227"/>
        <s v="TX502228"/>
        <s v="TX502229"/>
        <s v="TX502230"/>
        <s v="TX502231"/>
        <s v="TX502232"/>
        <s v="TX502233"/>
        <s v="TX502234"/>
        <s v="TX502235"/>
        <s v="TX502236"/>
        <s v="TX502237"/>
        <s v="TX502238"/>
        <s v="TX502239"/>
        <s v="TX502240"/>
        <s v="TX502241"/>
        <s v="TX502242"/>
        <s v="TX502243"/>
        <s v="TX502244"/>
        <s v="TX502245"/>
        <s v="TX502246"/>
        <s v="TX502247"/>
        <s v="TX502248"/>
        <s v="TX502249"/>
        <s v="TX502250"/>
        <s v="TX502251"/>
        <s v="TX502252"/>
        <s v="TX502253"/>
        <s v="TX502254"/>
        <s v="TX502255"/>
        <s v="TX502256"/>
        <s v="TX502257"/>
        <s v="TX502258"/>
        <s v="TX502259"/>
        <s v="TX502260"/>
        <s v="TX502261"/>
        <s v="TX502262"/>
        <s v="TX502263"/>
        <s v="TX502264"/>
        <s v="TX502265"/>
        <s v="TX502266"/>
        <s v="TX502267"/>
        <s v="TX502268"/>
        <s v="TX502269"/>
        <s v="TX502270"/>
        <s v="TX502271"/>
        <s v="TX502272"/>
        <s v="TX502273"/>
        <s v="TX502274"/>
        <s v="TX502275"/>
        <s v="TX502276"/>
        <s v="TX502277"/>
        <s v="TX502278"/>
        <s v="TX502279"/>
        <s v="TX502280"/>
        <s v="TX502281"/>
        <s v="TX502282"/>
        <s v="TX502283"/>
        <s v="TX502284"/>
        <s v="TX502285"/>
        <s v="TX502286"/>
        <s v="TX502287"/>
        <s v="TX502288"/>
        <s v="TX502289"/>
        <s v="TX502290"/>
        <s v="TX502291"/>
        <s v="TX502292"/>
        <s v="TX502293"/>
        <s v="TX502294"/>
        <s v="TX502295"/>
        <s v="TX502296"/>
        <s v="TX502297"/>
        <s v="TX502298"/>
        <s v="TX502299"/>
        <s v="TX502300"/>
        <s v="TX502301"/>
        <s v="TX502302"/>
        <s v="TX502303"/>
        <s v="TX502304"/>
        <s v="TX502305"/>
        <s v="TX502306"/>
        <s v="TX502307"/>
        <s v="TX502308"/>
        <s v="TX502309"/>
        <s v="TX502310"/>
        <s v="TX502311"/>
        <s v="TX502312"/>
        <s v="TX502313"/>
        <s v="TX502314"/>
        <s v="TX502315"/>
        <s v="TX502316"/>
        <s v="TX502317"/>
        <s v="TX502318"/>
        <s v="TX502319"/>
        <s v="TX502320"/>
        <s v="TX502321"/>
        <s v="TX502322"/>
        <s v="TX502323"/>
        <s v="TX502324"/>
        <s v="TX502325"/>
        <s v="TX502326"/>
        <s v="TX502327"/>
        <s v="TX502328"/>
        <s v="TX502329"/>
        <s v="TX502330"/>
        <s v="TX502331"/>
        <s v="TX502332"/>
        <s v="TX502333"/>
        <s v="TX502334"/>
        <s v="TX502335"/>
        <s v="TX502336"/>
        <s v="TX502337"/>
        <s v="TX502338"/>
        <s v="TX502339"/>
        <s v="TX502340"/>
        <s v="TX502341"/>
        <s v="TX502342"/>
        <s v="TX502343"/>
        <s v="TX502344"/>
        <s v="TX502345"/>
        <s v="TX502346"/>
        <s v="TX502347"/>
        <s v="TX502348"/>
        <s v="TX502349"/>
        <s v="TX502350"/>
        <s v="TX502351"/>
        <s v="TX502352"/>
        <s v="TX502353"/>
        <s v="TX502354"/>
        <s v="TX502355"/>
        <s v="TX502356"/>
        <s v="TX502357"/>
        <s v="TX502358"/>
        <s v="TX502359"/>
        <s v="TX502360"/>
        <s v="TX502361"/>
        <s v="TX502362"/>
        <s v="TX502363"/>
        <s v="TX502364"/>
        <s v="TX502365"/>
        <s v="TX502366"/>
        <s v="TX502367"/>
        <s v="TX502368"/>
        <s v="TX502369"/>
        <s v="TX502370"/>
        <s v="TX502371"/>
        <s v="TX502372"/>
        <s v="TX502373"/>
        <s v="TX502374"/>
        <s v="TX502375"/>
        <s v="TX502376"/>
        <s v="TX502377"/>
        <s v="TX502378"/>
        <s v="TX502379"/>
        <s v="TX502380"/>
        <s v="TX502381"/>
        <s v="TX502382"/>
        <s v="TX502383"/>
        <s v="TX502384"/>
        <s v="TX502385"/>
        <s v="TX502386"/>
        <s v="TX502387"/>
        <s v="TX502388"/>
        <s v="TX502389"/>
        <s v="TX502390"/>
        <s v="TX502391"/>
        <s v="TX502392"/>
        <s v="TX502393"/>
        <s v="TX502394"/>
        <s v="TX502395"/>
        <s v="TX502396"/>
        <s v="TX502397"/>
        <s v="TX502398"/>
        <s v="TX502399"/>
        <s v="TX502400"/>
      </sharedItems>
    </cacheField>
    <cacheField name="Product" numFmtId="0">
      <sharedItems count="20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</sharedItems>
    </cacheField>
    <cacheField name="Quantity" numFmtId="0">
      <sharedItems containsSemiMixedTypes="0" containsString="0" containsNumber="1" containsInteger="1" minValue="1" maxValue="87" count="48">
        <n v="1"/>
        <n v="2"/>
        <n v="3"/>
        <n v="7"/>
        <n v="12"/>
        <n v="11"/>
        <n v="27"/>
        <n v="10"/>
        <n v="8"/>
        <n v="5"/>
        <n v="19"/>
        <n v="9"/>
        <n v="4"/>
        <n v="6"/>
        <n v="17"/>
        <n v="13"/>
        <n v="18"/>
        <n v="30"/>
        <n v="26"/>
        <n v="29"/>
        <n v="15"/>
        <n v="14"/>
        <n v="62"/>
        <n v="43"/>
        <n v="41"/>
        <n v="24"/>
        <n v="49"/>
        <n v="16"/>
        <n v="20"/>
        <n v="40"/>
        <n v="25"/>
        <n v="28"/>
        <n v="22"/>
        <n v="34"/>
        <n v="36"/>
        <n v="47"/>
        <n v="35"/>
        <n v="31"/>
        <n v="21"/>
        <n v="42"/>
        <n v="33"/>
        <n v="45"/>
        <n v="63"/>
        <n v="38"/>
        <n v="23"/>
        <n v="87"/>
        <n v="32"/>
        <n v="70"/>
      </sharedItems>
      <fieldGroup par="15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 count="1764">
        <n v="10.9"/>
        <n v="61.2"/>
        <n v="328.20000000000005"/>
        <n v="263.90000000000003"/>
        <n v="170.10000000000002"/>
        <n v="1002"/>
        <n v="55.3"/>
        <n v="80.599999999999994"/>
        <n v="392.70000000000005"/>
        <n v="156.79999999999998"/>
        <n v="108.8"/>
        <n v="98"/>
        <n v="830.19999999999993"/>
        <n v="2386.8000000000002"/>
        <n v="66.7"/>
        <n v="309"/>
        <n v="93.300000000000011"/>
        <n v="109.80000000000001"/>
        <n v="408.8"/>
        <n v="25.2"/>
        <n v="219"/>
        <n v="560.40000000000009"/>
        <n v="1518.1000000000001"/>
        <n v="211.2"/>
        <n v="710.4"/>
        <n v="175"/>
        <n v="348.3"/>
        <n v="228.8"/>
        <n v="254.5"/>
        <n v="287"/>
        <n v="133.70000000000002"/>
        <n v="830.5"/>
        <n v="89.699999999999989"/>
        <n v="130.19999999999999"/>
        <n v="64"/>
        <n v="31.6"/>
        <n v="3452.7"/>
        <n v="507"/>
        <n v="26.5"/>
        <n v="43.1"/>
        <n v="417"/>
        <n v="80.7"/>
        <n v="109"/>
        <n v="205.79999999999998"/>
        <n v="543.6"/>
        <n v="283.60000000000002"/>
        <n v="318.5"/>
        <n v="29.7"/>
        <n v="80.400000000000006"/>
        <n v="27"/>
        <n v="41.4"/>
        <n v="48.6"/>
        <n v="125.10000000000001"/>
        <n v="36"/>
        <n v="273.89999999999998"/>
        <n v="154.4"/>
        <n v="821.6"/>
        <n v="299.7"/>
        <n v="128.4"/>
        <n v="69.300000000000011"/>
        <n v="142.19999999999999"/>
        <n v="23"/>
        <n v="1314.8"/>
        <n v="26.8"/>
        <n v="93.6"/>
        <n v="226.4"/>
        <n v="168"/>
        <n v="178.2"/>
        <n v="97.7"/>
        <n v="390.8"/>
        <n v="89.6"/>
        <n v="511.2"/>
        <n v="35.799999999999997"/>
        <n v="96.8"/>
        <n v="177.6"/>
        <n v="829.6"/>
        <n v="234.4"/>
        <n v="219.2"/>
        <n v="236.39999999999998"/>
        <n v="184"/>
        <n v="303.60000000000002"/>
        <n v="110.39999999999999"/>
        <n v="376.2"/>
        <n v="77.3"/>
        <n v="79.2"/>
        <n v="62"/>
        <n v="46.8"/>
        <n v="257.40000000000003"/>
        <n v="273.5"/>
        <n v="783"/>
        <n v="100.8"/>
        <n v="799.5"/>
        <n v="120.4"/>
        <n v="374"/>
        <n v="194.70000000000002"/>
        <n v="101"/>
        <n v="441"/>
        <n v="280.79999999999995"/>
        <n v="1242"/>
        <n v="320"/>
        <n v="115.5"/>
        <n v="106"/>
        <n v="55.5"/>
        <n v="253.5"/>
        <n v="218.4"/>
        <n v="586.80000000000007"/>
        <n v="181.6"/>
        <n v="1440"/>
        <n v="75.599999999999994"/>
        <n v="32"/>
        <n v="74.599999999999994"/>
        <n v="119.8"/>
        <n v="52.8"/>
        <n v="459"/>
        <n v="457"/>
        <n v="1111.1999999999998"/>
        <n v="360.6"/>
        <n v="132.89999999999998"/>
        <n v="189.89999999999998"/>
        <n v="66.8"/>
        <n v="119.4"/>
        <n v="552"/>
        <n v="175.2"/>
        <n v="232.6"/>
        <n v="263.5"/>
        <n v="102.60000000000001"/>
        <n v="23.3"/>
        <n v="673.4"/>
        <n v="1592.1"/>
        <n v="227.39999999999998"/>
        <n v="404.09999999999997"/>
        <n v="97.6"/>
        <n v="20.3"/>
        <n v="254.79999999999998"/>
        <n v="19"/>
        <n v="17.8"/>
        <n v="837.59999999999991"/>
        <n v="31.7"/>
        <n v="210.4"/>
        <n v="95.6"/>
        <n v="208.20000000000002"/>
        <n v="309.60000000000002"/>
        <n v="105.6"/>
        <n v="62.8"/>
        <n v="39.700000000000003"/>
        <n v="124.4"/>
        <n v="351"/>
        <n v="228.4"/>
        <n v="449.5"/>
        <n v="336.7"/>
        <n v="58.6"/>
        <n v="115.2"/>
        <n v="202.5"/>
        <n v="911.39999999999986"/>
        <n v="161.19999999999999"/>
        <n v="259"/>
        <n v="183.89999999999998"/>
        <n v="490"/>
        <n v="112.5"/>
        <n v="300"/>
        <n v="120"/>
        <n v="308"/>
        <n v="172.8"/>
        <n v="50.7"/>
        <n v="122"/>
        <n v="39.799999999999997"/>
        <n v="78.3"/>
        <n v="197.6"/>
        <n v="36.1"/>
        <n v="34.6"/>
        <n v="61"/>
        <n v="4346.2"/>
        <n v="76.099999999999994"/>
        <n v="444.6"/>
        <n v="151.5"/>
        <n v="262.5"/>
        <n v="315.7"/>
        <n v="364"/>
        <n v="13.3"/>
        <n v="47.099999999999994"/>
        <n v="51.2"/>
        <n v="43.4"/>
        <n v="300.59999999999997"/>
        <n v="1045"/>
        <n v="70.800000000000011"/>
        <n v="936"/>
        <n v="103.6"/>
        <n v="172.5"/>
        <n v="5654.5"/>
        <n v="334.59999999999997"/>
        <n v="20.399999999999999"/>
        <n v="328"/>
        <n v="355.59999999999997"/>
        <n v="118.80000000000001"/>
        <n v="139"/>
        <n v="260.8"/>
        <n v="98.2"/>
        <n v="98.8"/>
        <n v="455.69999999999993"/>
        <n v="104.2"/>
        <n v="516.79999999999995"/>
        <n v="1554.2"/>
        <n v="24.9"/>
        <n v="148.19999999999999"/>
        <n v="45.4"/>
        <n v="545.5"/>
        <n v="215.6"/>
        <n v="551.19999999999993"/>
        <n v="276"/>
        <n v="138.60000000000002"/>
        <n v="487"/>
        <n v="105"/>
        <n v="65.400000000000006"/>
        <n v="192"/>
        <n v="204.60000000000002"/>
        <n v="107.8"/>
        <n v="248.4"/>
        <n v="231.70000000000002"/>
        <n v="176"/>
        <n v="96.300000000000011"/>
        <n v="38.1"/>
        <n v="65.2"/>
        <n v="386.40000000000003"/>
        <n v="137.69999999999999"/>
        <n v="174.89999999999998"/>
        <n v="44.6"/>
        <n v="213"/>
        <n v="2369.7999999999997"/>
        <n v="202.79999999999998"/>
        <n v="400.20000000000005"/>
        <n v="212.4"/>
        <n v="172.2"/>
        <n v="290.5"/>
        <n v="95.4"/>
        <n v="94.5"/>
        <n v="391.3"/>
        <n v="72.8"/>
        <n v="236.5"/>
        <n v="247.5"/>
        <n v="14.3"/>
        <n v="345.6"/>
        <n v="427.20000000000005"/>
        <n v="30.2"/>
        <n v="195.89999999999998"/>
        <n v="90.2"/>
        <n v="431.90000000000003"/>
        <n v="135.30000000000001"/>
        <n v="113.5"/>
        <n v="17.600000000000001"/>
        <n v="22.6"/>
        <n v="160.19999999999999"/>
        <n v="562.1"/>
        <n v="55"/>
        <n v="33.5"/>
        <n v="59.5"/>
        <n v="94"/>
        <n v="49.7"/>
        <n v="176.8"/>
        <n v="22.1"/>
        <n v="272.70000000000005"/>
        <n v="133.5"/>
        <n v="193.79999999999998"/>
        <n v="243.5"/>
        <n v="527.20000000000005"/>
        <n v="209.5"/>
        <n v="337.5"/>
        <n v="60.4"/>
        <n v="212.79999999999998"/>
        <n v="49"/>
        <n v="317.70000000000005"/>
        <n v="621.59999999999991"/>
        <n v="200.39999999999998"/>
        <n v="336.9"/>
        <n v="564.59999999999991"/>
        <n v="40.700000000000003"/>
        <n v="142.80000000000001"/>
        <n v="280.8"/>
        <n v="151.19999999999999"/>
        <n v="84.300000000000011"/>
        <n v="308.39999999999998"/>
        <n v="195.4"/>
        <n v="255.2"/>
        <n v="40.200000000000003"/>
        <n v="16.2"/>
        <n v="566.30000000000007"/>
        <n v="571.20000000000005"/>
        <n v="563.20000000000005"/>
        <n v="53.5"/>
        <n v="381.70000000000005"/>
        <n v="306.90000000000003"/>
        <n v="1435.7"/>
        <n v="55.2"/>
        <n v="78"/>
        <n v="28.4"/>
        <n v="204.29999999999998"/>
        <n v="297"/>
        <n v="95.1"/>
        <n v="121.6"/>
        <n v="102.4"/>
        <n v="69.8"/>
        <n v="256.20000000000005"/>
        <n v="23.9"/>
        <n v="124.3"/>
        <n v="215.39999999999998"/>
        <n v="138.19999999999999"/>
        <n v="58.4"/>
        <n v="555.90000000000009"/>
        <n v="170.79999999999998"/>
        <n v="200"/>
        <n v="129"/>
        <n v="322"/>
        <n v="114.8"/>
        <n v="165.3"/>
        <n v="279.89999999999998"/>
        <n v="3005.7999999999997"/>
        <n v="149.80000000000001"/>
        <n v="182"/>
        <n v="225"/>
        <n v="151.6"/>
        <n v="48.5"/>
        <n v="296.70000000000005"/>
        <n v="610.79999999999995"/>
        <n v="508.20000000000005"/>
        <n v="20.7"/>
        <n v="520.19999999999993"/>
        <n v="213.8"/>
        <n v="226"/>
        <n v="449.8"/>
        <n v="43.8"/>
        <n v="36.700000000000003"/>
        <n v="81.599999999999994"/>
        <n v="58.2"/>
        <n v="76.800000000000011"/>
        <n v="21.2"/>
        <n v="96.4"/>
        <n v="333.6"/>
        <n v="135.89999999999998"/>
        <n v="42"/>
        <n v="196.20000000000002"/>
        <n v="385.2"/>
        <n v="135"/>
        <n v="39.6"/>
        <n v="239.39999999999998"/>
        <n v="254.4"/>
        <n v="927"/>
        <n v="193.6"/>
        <n v="288"/>
        <n v="324"/>
        <n v="431.2"/>
        <n v="435.59999999999997"/>
        <n v="99.8"/>
        <n v="155.10000000000002"/>
        <n v="125.39999999999999"/>
        <n v="144.80000000000001"/>
        <n v="150.9"/>
        <n v="310.39999999999998"/>
        <n v="327.5"/>
        <n v="270.29999999999995"/>
        <n v="216.6"/>
        <n v="179.7"/>
        <n v="2363"/>
        <n v="261.89999999999998"/>
        <n v="169.2"/>
        <n v="828.8"/>
        <n v="181.8"/>
        <n v="1614.4"/>
        <n v="180"/>
        <n v="499.79999999999995"/>
        <n v="1025.0999999999999"/>
        <n v="721.8"/>
        <n v="340"/>
        <n v="948"/>
        <n v="74"/>
        <n v="302"/>
        <n v="138.6"/>
        <n v="405"/>
        <n v="124.5"/>
        <n v="139.4"/>
        <n v="418"/>
        <n v="150.5"/>
        <n v="112.80000000000001"/>
        <n v="140.4"/>
        <n v="25.4"/>
        <n v="137"/>
        <n v="122.6"/>
        <n v="129.4"/>
        <n v="365.6"/>
        <n v="66.2"/>
        <n v="139.19999999999999"/>
        <n v="494.19999999999993"/>
        <n v="32.200000000000003"/>
        <n v="55.8"/>
        <n v="47.1"/>
        <n v="170"/>
        <n v="178"/>
        <n v="304.5"/>
        <n v="579.5"/>
        <n v="215.4"/>
        <n v="1484.6000000000001"/>
        <n v="1117"/>
        <n v="310.09999999999997"/>
        <n v="766.4"/>
        <n v="158.20000000000002"/>
        <n v="204.8"/>
        <n v="868.8"/>
        <n v="666.9"/>
        <n v="31.2"/>
        <n v="90.9"/>
        <n v="60.6"/>
        <n v="159"/>
        <n v="1078.2"/>
        <n v="91.4"/>
        <n v="184.4"/>
        <n v="52.5"/>
        <n v="109.5"/>
        <n v="95"/>
        <n v="228"/>
        <n v="998"/>
        <n v="67.800000000000011"/>
        <n v="1903.5"/>
        <n v="200.6"/>
        <n v="442.8"/>
        <n v="94.6"/>
        <n v="285.59999999999997"/>
        <n v="393.6"/>
        <n v="28.5"/>
        <n v="73.599999999999994"/>
        <n v="100.5"/>
        <n v="375"/>
        <n v="1916"/>
        <n v="557.40000000000009"/>
        <n v="132.30000000000001"/>
        <n v="11.4"/>
        <n v="83.7"/>
        <n v="46.4"/>
        <n v="162.1"/>
        <n v="196.8"/>
        <n v="531"/>
        <n v="44.8"/>
        <n v="376.5"/>
        <n v="42.6"/>
        <n v="245"/>
        <n v="93.9"/>
        <n v="170.8"/>
        <n v="160"/>
        <n v="77"/>
        <n v="115.6"/>
        <n v="19.2"/>
        <n v="688.8"/>
        <n v="338.8"/>
        <n v="366"/>
        <n v="97.2"/>
        <n v="292.20000000000005"/>
        <n v="64.400000000000006"/>
        <n v="206.4"/>
        <n v="189.6"/>
        <n v="1420"/>
        <n v="292.8"/>
        <n v="50.400000000000006"/>
        <n v="393.79999999999995"/>
        <n v="64.900000000000006"/>
        <n v="207"/>
        <n v="82.4"/>
        <n v="37.799999999999997"/>
        <n v="85.2"/>
        <n v="152"/>
        <n v="55.4"/>
        <n v="249.60000000000002"/>
        <n v="145.4"/>
        <n v="42.4"/>
        <n v="83"/>
        <n v="530.1"/>
        <n v="57.1"/>
        <n v="57.2"/>
        <n v="70.2"/>
        <n v="52.1"/>
        <n v="179.39999999999998"/>
        <n v="333.2"/>
        <n v="495.59999999999997"/>
        <n v="80"/>
        <n v="41.6"/>
        <n v="758.80000000000007"/>
        <n v="77.8"/>
        <n v="21.6"/>
        <n v="629.19999999999993"/>
        <n v="87.6"/>
        <n v="50.2"/>
        <n v="196.79999999999998"/>
        <n v="114.6"/>
        <n v="411.3"/>
        <n v="1628"/>
        <n v="78.400000000000006"/>
        <n v="1065.9000000000001"/>
        <n v="120.2"/>
        <n v="45.8"/>
        <n v="75.2"/>
        <n v="39.200000000000003"/>
        <n v="90.5"/>
        <n v="372.9"/>
        <n v="65.599999999999994"/>
        <n v="49.9"/>
        <n v="396"/>
        <n v="312"/>
        <n v="72"/>
        <n v="41.2"/>
        <n v="1672"/>
        <n v="2235"/>
        <n v="157.19999999999999"/>
        <n v="68.5"/>
        <n v="67.5"/>
        <n v="48"/>
        <n v="65.699999999999989"/>
        <n v="454.30000000000007"/>
        <n v="52.9"/>
        <n v="76.5"/>
        <n v="155.69999999999999"/>
        <n v="46.3"/>
        <n v="136.4"/>
        <n v="40.299999999999997"/>
        <n v="35.700000000000003"/>
        <n v="127"/>
        <n v="54.2"/>
        <n v="164.2"/>
        <n v="214.5"/>
        <n v="416.9"/>
        <n v="22.4"/>
        <n v="1038.7"/>
        <n v="70.599999999999994"/>
        <n v="49.5"/>
        <n v="193.2"/>
        <n v="101.7"/>
        <n v="134.5"/>
        <n v="844"/>
        <n v="84.4"/>
        <n v="26.6"/>
        <n v="53"/>
        <n v="258.8"/>
        <n v="289.3"/>
        <n v="47.8"/>
        <n v="128.39999999999998"/>
        <n v="234"/>
        <n v="641"/>
        <n v="89.1"/>
        <n v="249.29999999999998"/>
        <n v="122.69999999999999"/>
        <n v="251.4"/>
        <n v="61.8"/>
        <n v="36.6"/>
        <n v="113"/>
        <n v="209.29999999999998"/>
        <n v="85.8"/>
        <n v="1065.5999999999999"/>
        <n v="281.2"/>
        <n v="124"/>
        <n v="489.59999999999997"/>
        <n v="1457.5"/>
        <n v="80.2"/>
        <n v="117.60000000000001"/>
        <n v="30.8"/>
        <n v="505.6"/>
        <n v="214.20000000000002"/>
        <n v="524"/>
        <n v="150.80000000000001"/>
        <n v="1482.4"/>
        <n v="69.2"/>
        <n v="116.4"/>
        <n v="532"/>
        <n v="306.60000000000002"/>
        <n v="105.4"/>
        <n v="57.7"/>
        <n v="125"/>
        <n v="55.800000000000004"/>
        <n v="58.8"/>
        <n v="44.2"/>
        <n v="114.9"/>
        <n v="379"/>
        <n v="103"/>
        <n v="203.70000000000002"/>
        <n v="50.6"/>
        <n v="110.5"/>
        <n v="128.69999999999999"/>
        <n v="686.4"/>
        <n v="327.59999999999997"/>
        <n v="45"/>
        <n v="283.2"/>
        <n v="283"/>
        <n v="95.8"/>
        <n v="627.20000000000005"/>
        <n v="1709.3999999999999"/>
        <n v="167.4"/>
        <n v="391.6"/>
        <n v="15"/>
        <n v="283.79999999999995"/>
        <n v="118.19999999999999"/>
        <n v="46.7"/>
        <n v="172"/>
        <n v="243"/>
        <n v="173.6"/>
        <n v="246.4"/>
        <n v="146.10000000000002"/>
        <n v="261.39999999999998"/>
        <n v="26"/>
        <n v="472"/>
        <n v="448.79999999999995"/>
        <n v="1987.2"/>
        <n v="513.9"/>
        <n v="167.29999999999998"/>
        <n v="34.1"/>
        <n v="154"/>
        <n v="210"/>
        <n v="74.400000000000006"/>
        <n v="75"/>
        <n v="169.9"/>
        <n v="144.4"/>
        <n v="20"/>
        <n v="232"/>
        <n v="86.2"/>
        <n v="672.30000000000007"/>
        <n v="128.19999999999999"/>
        <n v="106.8"/>
        <n v="189"/>
        <n v="452.90000000000003"/>
        <n v="111.2"/>
        <n v="72.400000000000006"/>
        <n v="126"/>
        <n v="144.30000000000001"/>
        <n v="86.8"/>
        <n v="31.8"/>
        <n v="126.4"/>
        <n v="259.2"/>
        <n v="54.4"/>
        <n v="87.3"/>
        <n v="129.6"/>
        <n v="177.4"/>
        <n v="140.19999999999999"/>
        <n v="399.5"/>
        <n v="57.6"/>
        <n v="597"/>
        <n v="150"/>
        <n v="138.4"/>
        <n v="87.2"/>
        <n v="122.2"/>
        <n v="223.2"/>
        <n v="99.2"/>
        <n v="359.70000000000005"/>
        <n v="90"/>
        <n v="102.2"/>
        <n v="97.5"/>
        <n v="78.099999999999994"/>
        <n v="661.2"/>
        <n v="258.89999999999998"/>
        <n v="441.59999999999997"/>
        <n v="880.1"/>
        <n v="853.19999999999993"/>
        <n v="412.2"/>
        <n v="48.4"/>
        <n v="434.70000000000005"/>
        <n v="164"/>
        <n v="357"/>
        <n v="109.2"/>
        <n v="71.400000000000006"/>
        <n v="104.8"/>
        <n v="226.79999999999998"/>
        <n v="2011.6"/>
        <n v="1299.6000000000001"/>
        <n v="1101.6000000000001"/>
        <n v="235"/>
        <n v="211.4"/>
        <n v="401.09999999999997"/>
        <n v="585.9"/>
        <n v="18.600000000000001"/>
        <n v="1015.3"/>
        <n v="245.10000000000002"/>
        <n v="81.8"/>
        <n v="283.8"/>
        <n v="145.6"/>
        <n v="59.1"/>
        <n v="1266.5"/>
        <n v="549.20000000000005"/>
        <n v="214.8"/>
        <n v="706.30000000000007"/>
        <n v="83.6"/>
        <n v="355.6"/>
        <n v="62.5"/>
        <n v="140.69999999999999"/>
        <n v="135.60000000000002"/>
        <n v="474.8"/>
        <n v="57.8"/>
        <n v="19.5"/>
        <n v="149.6"/>
        <n v="181.5"/>
        <n v="400.40000000000003"/>
        <n v="224"/>
        <n v="67.400000000000006"/>
        <n v="106.80000000000001"/>
        <n v="1064"/>
        <n v="602.40000000000009"/>
        <n v="87.4"/>
        <n v="33.299999999999997"/>
        <n v="591"/>
        <n v="86.699999999999989"/>
        <n v="166.8"/>
        <n v="66.300000000000011"/>
        <n v="1391.6000000000001"/>
        <n v="399.59999999999997"/>
        <n v="45.2"/>
        <n v="1202.3999999999999"/>
        <n v="83.2"/>
        <n v="717.5"/>
        <n v="446.40000000000003"/>
        <n v="973.4"/>
        <n v="296.5"/>
        <n v="591.59999999999991"/>
        <n v="389.2"/>
        <n v="76.8"/>
        <n v="379.79999999999995"/>
        <n v="46"/>
        <n v="114"/>
        <n v="797"/>
        <n v="244"/>
        <n v="339.5"/>
        <n v="247.2"/>
        <n v="46.1"/>
        <n v="264"/>
        <n v="191.4"/>
        <n v="94.4"/>
        <n v="117.2"/>
        <n v="171"/>
        <n v="303.5"/>
        <n v="304"/>
        <n v="323"/>
        <n v="21.9"/>
        <n v="400.79999999999995"/>
        <n v="51.7"/>
        <n v="339.6"/>
        <n v="685.3"/>
        <n v="39.5"/>
        <n v="92.699999999999989"/>
        <n v="844.8"/>
        <n v="157.80000000000001"/>
        <n v="1632"/>
        <n v="1382"/>
        <n v="90.6"/>
        <n v="230.2"/>
        <n v="316"/>
        <n v="68.2"/>
        <n v="539.5"/>
        <n v="630.5"/>
        <n v="104.10000000000001"/>
        <n v="16.8"/>
        <n v="167.7"/>
        <n v="266"/>
        <n v="312.60000000000002"/>
        <n v="38"/>
        <n v="254.39999999999998"/>
        <n v="255.6"/>
        <n v="196.5"/>
        <n v="232.4"/>
        <n v="91.6"/>
        <n v="161.10000000000002"/>
        <n v="216"/>
        <n v="568.20000000000005"/>
        <n v="167.2"/>
        <n v="201.60000000000002"/>
        <n v="296.39999999999998"/>
        <n v="222"/>
        <n v="175.5"/>
        <n v="592"/>
        <n v="1332"/>
        <n v="129.19999999999999"/>
        <n v="285.89999999999998"/>
        <n v="77.400000000000006"/>
        <n v="23.2"/>
        <n v="52.3"/>
        <n v="1122"/>
        <n v="173"/>
        <n v="225.6"/>
        <n v="497.7"/>
        <n v="2114"/>
        <n v="23.6"/>
        <n v="141.4"/>
        <n v="86.4"/>
        <n v="630"/>
        <n v="41"/>
        <n v="482.40000000000003"/>
        <n v="361.5"/>
        <n v="90.4"/>
        <n v="88.4"/>
        <n v="282.29999999999995"/>
        <n v="53.699999999999996"/>
        <n v="368.90000000000003"/>
        <n v="36.799999999999997"/>
        <n v="267.60000000000002"/>
        <n v="106.4"/>
        <n v="112.19999999999999"/>
        <n v="435.2"/>
        <n v="192.5"/>
        <n v="465"/>
        <n v="20.9"/>
        <n v="107.6"/>
        <n v="73.800000000000011"/>
        <n v="212.70000000000002"/>
        <n v="95.699999999999989"/>
        <n v="40.799999999999997"/>
        <n v="37.200000000000003"/>
        <n v="241.5"/>
        <n v="110.8"/>
        <n v="108"/>
        <n v="184.1"/>
        <n v="721"/>
        <n v="699"/>
        <n v="161"/>
        <n v="66"/>
        <n v="50.4"/>
        <n v="412.20000000000005"/>
        <n v="66.599999999999994"/>
        <n v="252"/>
        <n v="89.8"/>
        <n v="214.79999999999998"/>
        <n v="277.5"/>
        <n v="955.5"/>
        <n v="67.599999999999994"/>
        <n v="229.5"/>
        <n v="127.80000000000001"/>
        <n v="147.30000000000001"/>
        <n v="85.3"/>
        <n v="172.4"/>
        <n v="184.8"/>
        <n v="47.2"/>
        <n v="1101.5999999999999"/>
        <n v="24.7"/>
        <n v="154.70000000000002"/>
        <n v="18.100000000000001"/>
        <n v="117.6"/>
        <n v="61.6"/>
        <n v="24"/>
        <n v="17.899999999999999"/>
        <n v="77.2"/>
        <n v="163.5"/>
        <n v="222.8"/>
        <n v="481.79999999999995"/>
        <n v="117.8"/>
        <n v="150.89999999999998"/>
        <n v="270"/>
        <n v="268.20000000000005"/>
        <n v="495"/>
        <n v="224.5"/>
        <n v="329.7"/>
        <n v="130.5"/>
        <n v="334"/>
        <n v="335.8"/>
        <n v="311.40000000000003"/>
        <n v="105.30000000000001"/>
        <n v="37.9"/>
        <n v="96"/>
        <n v="101.2"/>
        <n v="408.5"/>
        <n v="101.4"/>
        <n v="1278.7"/>
        <n v="1348.6"/>
        <n v="32.9"/>
        <n v="201.6"/>
        <n v="100.4"/>
        <n v="67.2"/>
        <n v="39.299999999999997"/>
        <n v="488"/>
        <n v="582.4"/>
        <n v="369.6"/>
        <n v="2659.2"/>
        <n v="343.2"/>
        <n v="1515.8"/>
        <n v="377.3"/>
        <n v="106.2"/>
        <n v="224.8"/>
        <n v="773"/>
        <n v="751.4"/>
        <n v="631.5"/>
        <n v="205.20000000000002"/>
        <n v="513.29999999999995"/>
        <n v="28"/>
        <n v="351.40000000000003"/>
        <n v="112"/>
        <n v="76.599999999999994"/>
        <n v="111.5"/>
        <n v="66.900000000000006"/>
        <n v="188"/>
        <n v="61.4"/>
        <n v="452.5"/>
        <n v="126.5"/>
        <n v="174.3"/>
        <n v="224.70000000000002"/>
        <n v="65"/>
        <n v="310"/>
        <n v="173.39999999999998"/>
        <n v="342.4"/>
        <n v="315.2"/>
        <n v="199.20000000000002"/>
        <n v="143.6"/>
        <n v="55.1"/>
        <n v="274.3"/>
        <n v="169"/>
        <n v="224.4"/>
        <n v="58.5"/>
        <n v="84.2"/>
        <n v="208"/>
        <n v="157.5"/>
        <n v="810"/>
        <n v="276.60000000000002"/>
        <n v="396.90000000000003"/>
        <n v="297.7"/>
        <n v="1018.4"/>
        <n v="500.40000000000003"/>
        <n v="372.29999999999995"/>
        <n v="946.39999999999986"/>
        <n v="353.4"/>
        <n v="162"/>
        <n v="445"/>
        <n v="282"/>
        <n v="110.4"/>
        <n v="1398.6"/>
        <n v="443.6"/>
        <n v="403.79999999999995"/>
        <n v="209.10000000000002"/>
        <n v="39.1"/>
        <n v="625.79999999999995"/>
        <n v="83.4"/>
        <n v="147"/>
        <n v="132.5"/>
        <n v="30.3"/>
        <n v="476.40000000000003"/>
        <n v="589"/>
        <n v="348.2"/>
        <n v="141.6"/>
        <n v="57"/>
        <n v="2132"/>
        <n v="359.1"/>
        <n v="73.3"/>
        <n v="51.6"/>
        <n v="44.9"/>
        <n v="108.6"/>
        <n v="33"/>
        <n v="481.20000000000005"/>
        <n v="392"/>
        <n v="417.6"/>
        <n v="32.799999999999997"/>
        <n v="44"/>
        <n v="258"/>
        <n v="544"/>
        <n v="263.7"/>
        <n v="122.7"/>
        <n v="160.29999999999998"/>
        <n v="255"/>
        <n v="70.199999999999989"/>
        <n v="342"/>
        <n v="51.9"/>
        <n v="132"/>
        <n v="148.80000000000001"/>
        <n v="61.800000000000004"/>
        <n v="197.2"/>
        <n v="48.2"/>
        <n v="261.60000000000002"/>
        <n v="223.20000000000002"/>
        <n v="45.6"/>
        <n v="156.80000000000001"/>
        <n v="51.8"/>
        <n v="74.7"/>
        <n v="67.199999999999989"/>
        <n v="125.6"/>
        <n v="22.3"/>
        <n v="81"/>
        <n v="598.4"/>
        <n v="516.4"/>
        <n v="484.79999999999995"/>
        <n v="145.5"/>
        <n v="92.5"/>
        <n v="189.4"/>
        <n v="232.79999999999998"/>
        <n v="204"/>
        <n v="445.90000000000003"/>
        <n v="132.4"/>
        <n v="96.899999999999991"/>
        <n v="133.80000000000001"/>
        <n v="302.39999999999998"/>
        <n v="177"/>
        <n v="230"/>
        <n v="218.6"/>
        <n v="133.19999999999999"/>
        <n v="238.5"/>
        <n v="92"/>
        <n v="235.79999999999998"/>
        <n v="286"/>
        <n v="217"/>
        <n v="341"/>
        <n v="1129"/>
        <n v="303.3"/>
        <n v="353"/>
        <n v="136.80000000000001"/>
        <n v="319.39999999999998"/>
        <n v="76"/>
        <n v="546.59999999999991"/>
        <n v="470.5"/>
        <n v="189.9"/>
        <n v="107.10000000000001"/>
        <n v="77.099999999999994"/>
        <n v="284.40000000000003"/>
        <n v="64.2"/>
        <n v="111.6"/>
        <n v="56.2"/>
        <n v="289.79999999999995"/>
        <n v="225.40000000000003"/>
        <n v="1358"/>
        <n v="318.29999999999995"/>
        <n v="70.5"/>
        <n v="71.2"/>
        <n v="580.30000000000007"/>
        <n v="321.29999999999995"/>
        <n v="62.7"/>
        <n v="242.39999999999998"/>
        <n v="357.6"/>
        <n v="765.59999999999991"/>
        <n v="178.8"/>
        <n v="15.9"/>
        <n v="157.4"/>
        <n v="355.20000000000005"/>
        <n v="86"/>
        <n v="1288.5999999999999"/>
        <n v="169.8"/>
        <n v="1098.5"/>
        <n v="527"/>
        <n v="275.8"/>
        <n v="62.3"/>
        <n v="245.5"/>
        <n v="974.59999999999991"/>
        <n v="99.4"/>
        <n v="29"/>
        <n v="60.7"/>
        <n v="349.6"/>
        <n v="311.5"/>
        <n v="141"/>
        <n v="50.099999999999994"/>
        <n v="155"/>
        <n v="326"/>
        <n v="192.6"/>
        <n v="68.599999999999994"/>
        <n v="241"/>
        <n v="51.4"/>
        <n v="586"/>
        <n v="88.2"/>
        <n v="134.4"/>
        <n v="105.2"/>
        <n v="479.5"/>
        <n v="404.70000000000005"/>
        <n v="303"/>
        <n v="87"/>
        <n v="374.2"/>
        <n v="221.6"/>
        <n v="469.3"/>
        <n v="24.1"/>
        <n v="91.5"/>
        <n v="409.79999999999995"/>
        <n v="129.89999999999998"/>
        <n v="108.4"/>
        <n v="102"/>
        <n v="46.2"/>
        <n v="612.5"/>
        <n v="153"/>
        <n v="212"/>
        <n v="440.6"/>
        <n v="137.10000000000002"/>
        <n v="235.5"/>
        <n v="978"/>
        <n v="127.19999999999999"/>
        <n v="745"/>
        <n v="284.39999999999998"/>
        <n v="51.900000000000006"/>
        <n v="311.60000000000002"/>
        <n v="29.1"/>
        <n v="126.60000000000001"/>
        <n v="701.1"/>
        <n v="926"/>
        <n v="164.39999999999998"/>
        <n v="681.59999999999991"/>
        <n v="1557.6000000000001"/>
        <n v="270.60000000000002"/>
        <n v="22"/>
        <n v="61.5"/>
        <n v="190.4"/>
        <n v="121.9"/>
        <n v="895.19999999999993"/>
        <n v="54.1"/>
        <n v="54.8"/>
        <n v="395.2"/>
        <n v="628.79999999999995"/>
        <n v="134.80000000000001"/>
        <n v="215.5"/>
        <n v="161.4"/>
        <n v="144.20000000000002"/>
        <n v="111.30000000000001"/>
        <n v="118"/>
        <n v="64.599999999999994"/>
        <n v="59.2"/>
        <n v="81.2"/>
        <n v="26.2"/>
        <n v="1320"/>
        <n v="262.39999999999998"/>
        <n v="391.20000000000005"/>
        <n v="1824.9"/>
        <n v="54.5"/>
        <n v="344.5"/>
        <n v="124.8"/>
        <n v="488.40000000000003"/>
        <n v="49.6"/>
        <n v="2996.9999999999995"/>
        <n v="79.199999999999989"/>
        <n v="34.4"/>
        <n v="464.8"/>
        <n v="27.1"/>
        <n v="40.5"/>
        <n v="233.70000000000002"/>
        <n v="148.4"/>
        <n v="154.80000000000001"/>
        <n v="294"/>
        <n v="289.8"/>
        <n v="272"/>
        <n v="66.3"/>
        <n v="287.70000000000005"/>
        <n v="156.19999999999999"/>
        <n v="113.6"/>
        <n v="163.4"/>
        <n v="113.4"/>
        <n v="210.6"/>
        <n v="190.2"/>
        <n v="345.2"/>
        <n v="80.099999999999994"/>
        <n v="136.19999999999999"/>
        <n v="81.7"/>
        <n v="251"/>
        <n v="20.2"/>
        <n v="624"/>
        <n v="38.4"/>
        <n v="292.59999999999997"/>
        <n v="224.39999999999998"/>
        <n v="180.60000000000002"/>
        <n v="183"/>
        <n v="278.5"/>
        <n v="153.4"/>
        <n v="592.19999999999993"/>
        <n v="466"/>
        <n v="78.2"/>
        <n v="543.59999999999991"/>
        <n v="237.29999999999998"/>
        <n v="41.9"/>
        <n v="92.4"/>
        <n v="340.8"/>
        <n v="70"/>
        <n v="88"/>
        <n v="222.29999999999998"/>
        <n v="161.9"/>
        <n v="32.1"/>
        <n v="419.2"/>
        <n v="404.40000000000003"/>
        <n v="230.4"/>
        <n v="730.40000000000009"/>
        <n v="817.19999999999993"/>
        <n v="162.5"/>
        <n v="183.60000000000002"/>
        <n v="229.6"/>
        <n v="229.20000000000002"/>
        <n v="211.20000000000002"/>
        <n v="223.79999999999998"/>
        <n v="1089"/>
        <n v="101.39999999999999"/>
        <n v="85.7"/>
        <n v="184.2"/>
        <n v="195.29999999999998"/>
        <n v="142.1"/>
        <n v="59.6"/>
        <n v="57.3"/>
        <n v="108.9"/>
        <n v="594.9"/>
        <n v="183.5"/>
        <n v="328.1"/>
        <n v="82.8"/>
        <n v="164.10000000000002"/>
        <n v="41.1"/>
        <n v="348"/>
        <n v="205.6"/>
        <n v="79.599999999999994"/>
        <n v="305"/>
        <n v="166.1"/>
        <n v="499.09999999999997"/>
        <n v="25.8"/>
        <n v="198"/>
        <n v="128"/>
        <n v="1457.6"/>
        <n v="43.6"/>
        <n v="92.6"/>
        <n v="62.2"/>
        <n v="321.3"/>
        <n v="219.6"/>
        <n v="18.2"/>
        <n v="59.7"/>
        <n v="210.89999999999998"/>
        <n v="413.6"/>
        <n v="246"/>
        <n v="87.9"/>
        <n v="251.8"/>
        <n v="146.5"/>
        <n v="126.8"/>
        <n v="131.5"/>
        <n v="199"/>
        <n v="412.5"/>
        <n v="45.1"/>
        <n v="344"/>
        <n v="453.59999999999997"/>
        <n v="533.4"/>
        <n v="85.6"/>
        <n v="100"/>
        <n v="753.5"/>
        <n v="19.600000000000001"/>
        <n v="63.599999999999994"/>
        <n v="297.5"/>
        <n v="34"/>
        <n v="103.2"/>
        <n v="147.6"/>
        <n v="812.40000000000009"/>
        <n v="306.59999999999997"/>
        <n v="431.40000000000003"/>
        <n v="52.6"/>
        <n v="32.700000000000003"/>
        <n v="155.6"/>
        <n v="242"/>
        <n v="1339.8"/>
        <n v="77.7"/>
        <n v="241.2"/>
        <n v="248.2"/>
        <n v="462"/>
        <n v="7446.6"/>
        <n v="321.5"/>
        <n v="109.6"/>
        <n v="792.5"/>
        <n v="287.60000000000002"/>
        <n v="59"/>
        <n v="167.6"/>
        <n v="323.39999999999998"/>
        <n v="718.19999999999993"/>
        <n v="22.9"/>
        <n v="48.599999999999994"/>
        <n v="238"/>
        <n v="131"/>
        <n v="118.4"/>
        <n v="166"/>
        <n v="805.19999999999993"/>
        <n v="57.4"/>
        <n v="528.4"/>
        <n v="657.4"/>
        <n v="166.5"/>
        <n v="800.40000000000009"/>
        <n v="378.90000000000003"/>
        <n v="410.90000000000003"/>
        <n v="54"/>
        <n v="93.4"/>
        <n v="144.69999999999999"/>
        <n v="818.1"/>
        <n v="289.5"/>
        <n v="132.60000000000002"/>
        <n v="267.5"/>
        <n v="249.6"/>
        <n v="123.5"/>
        <n v="308.5"/>
        <n v="91"/>
        <n v="160.5"/>
        <n v="130.80000000000001"/>
        <n v="1350"/>
        <n v="84.6"/>
        <n v="181"/>
        <n v="63.900000000000006"/>
        <n v="36.299999999999997"/>
        <n v="331.5"/>
        <n v="228.20000000000002"/>
        <n v="626.40000000000009"/>
        <n v="57.300000000000004"/>
        <n v="218.2"/>
        <n v="42.2"/>
        <n v="170.4"/>
        <n v="72.900000000000006"/>
        <n v="43.3"/>
        <n v="123"/>
        <n v="162.30000000000001"/>
        <n v="72.300000000000011"/>
        <n v="261.5"/>
        <n v="275.2"/>
        <n v="257.60000000000002"/>
        <n v="48.3"/>
        <n v="136.5"/>
        <n v="1377"/>
        <n v="122.39999999999999"/>
        <n v="60.8"/>
        <n v="143"/>
        <n v="501.6"/>
        <n v="99.5"/>
        <n v="468.90000000000003"/>
        <n v="1159"/>
        <n v="774"/>
        <n v="515.19999999999993"/>
        <n v="326.2"/>
        <n v="253.79999999999998"/>
        <n v="581"/>
        <n v="326.90000000000003"/>
        <n v="53.7"/>
        <n v="247.8"/>
        <n v="107.69999999999999"/>
        <n v="1599.5"/>
        <n v="1301.3"/>
        <n v="74.2"/>
        <n v="606.4"/>
        <n v="243.2"/>
        <n v="267.40000000000003"/>
        <n v="462.8"/>
        <n v="596.40000000000009"/>
        <n v="38.700000000000003"/>
        <n v="71"/>
        <n v="373.2"/>
        <n v="31.4"/>
        <n v="85.9"/>
        <n v="72.599999999999994"/>
        <n v="100.19999999999999"/>
        <n v="195.60000000000002"/>
        <n v="589.5"/>
        <n v="158.39999999999998"/>
        <n v="153.60000000000002"/>
        <n v="84.9"/>
        <n v="126.89999999999999"/>
        <n v="1306.4000000000001"/>
        <n v="331.09999999999997"/>
        <n v="436.8"/>
        <n v="209.39999999999998"/>
        <n v="174.4"/>
        <n v="878.5"/>
        <n v="498.4"/>
        <n v="279.3"/>
        <n v="299.2"/>
        <n v="52.2"/>
        <n v="193"/>
        <n v="159.6"/>
        <n v="165.89999999999998"/>
        <n v="731.5"/>
        <n v="306.39999999999998"/>
        <n v="191.39999999999998"/>
        <n v="21.4"/>
        <n v="176.4"/>
        <n v="460.8"/>
        <n v="40.6"/>
        <n v="423.6"/>
        <n v="336.59999999999997"/>
        <n v="158"/>
        <n v="57.900000000000006"/>
        <n v="356.5"/>
        <n v="332.4"/>
        <n v="231"/>
        <n v="86.1"/>
        <n v="577"/>
        <n v="706"/>
        <n v="146.69999999999999"/>
        <n v="54.300000000000004"/>
        <n v="237"/>
        <n v="413.7"/>
        <n v="137.6"/>
        <n v="292.5"/>
        <n v="798"/>
        <n v="266.39999999999998"/>
        <n v="257.5"/>
        <n v="190.8"/>
        <n v="368"/>
        <n v="638.4"/>
        <n v="289.60000000000002"/>
        <n v="784"/>
        <n v="348.8"/>
        <n v="378"/>
        <n v="566.1"/>
        <n v="511"/>
        <n v="295.79999999999995"/>
        <n v="338.4"/>
        <n v="344.8"/>
        <n v="154.6"/>
        <n v="189.60000000000002"/>
        <n v="913.1"/>
        <n v="137.39999999999998"/>
        <n v="152.39999999999998"/>
        <n v="103.8"/>
        <n v="186.8"/>
        <n v="143.19999999999999"/>
        <n v="444.4"/>
        <n v="2498.5"/>
        <n v="64.3"/>
        <n v="174.60000000000002"/>
        <n v="236.8"/>
        <n v="296"/>
        <n v="1050.3999999999999"/>
        <n v="154.19999999999999"/>
        <n v="40.4"/>
        <n v="145.19999999999999"/>
        <n v="119.39999999999999"/>
        <n v="128.80000000000001"/>
        <n v="230.39999999999998"/>
        <n v="83.8"/>
        <n v="429.09999999999997"/>
        <n v="54.7"/>
        <n v="847"/>
        <n v="280.20000000000005"/>
        <n v="144"/>
        <n v="135.80000000000001"/>
        <n v="233.09999999999997"/>
        <n v="113.39999999999999"/>
        <n v="537.70000000000005"/>
        <n v="125.2"/>
        <n v="208.5"/>
        <n v="33.4"/>
        <n v="310.8"/>
        <n v="142.4"/>
        <n v="285"/>
        <n v="688.4"/>
        <n v="43.5"/>
        <n v="131.6"/>
        <n v="425.70000000000005"/>
        <n v="7264.5"/>
        <n v="15.5"/>
        <n v="140.80000000000001"/>
        <n v="207.60000000000002"/>
        <n v="21.3"/>
        <n v="273"/>
        <n v="214.9"/>
        <n v="123.2"/>
        <n v="217.2"/>
        <n v="174"/>
        <n v="144.60000000000002"/>
        <n v="13.7"/>
        <n v="221"/>
        <n v="1407"/>
        <n v="270.2"/>
        <n v="2101"/>
        <n v="25.5"/>
        <n v="486"/>
        <n v="80.8"/>
        <n v="299.5"/>
        <n v="165"/>
        <n v="543.9"/>
        <n v="46.6"/>
        <n v="62.099999999999994"/>
        <n v="114.60000000000001"/>
        <n v="1390"/>
        <n v="192.4"/>
        <n v="181.2"/>
        <n v="741.6"/>
        <n v="103.7"/>
        <n v="31.5"/>
        <n v="44.7"/>
        <n v="139.6"/>
        <n v="186.89999999999998"/>
        <n v="99.600000000000009"/>
        <n v="298"/>
        <n v="823.19999999999993"/>
        <n v="509.59999999999997"/>
        <n v="338"/>
        <n v="372.6"/>
        <n v="41.8"/>
        <n v="114.4"/>
        <n v="94.2"/>
        <n v="259.20000000000005"/>
        <n v="525"/>
        <n v="533"/>
        <n v="857.6"/>
        <n v="651"/>
        <n v="194.6"/>
        <n v="49.8"/>
        <n v="163"/>
        <n v="67.3"/>
        <n v="1222.0999999999999"/>
        <n v="59.099999999999994"/>
        <n v="217.6"/>
        <n v="314.10000000000002"/>
        <n v="65.5"/>
        <n v="12.5"/>
        <n v="111.4"/>
        <n v="115.4"/>
        <n v="514.20000000000005"/>
        <n v="260.70000000000005"/>
        <n v="92.8"/>
        <n v="76.199999999999989"/>
        <n v="143.39999999999998"/>
        <n v="349.59999999999997"/>
        <n v="345"/>
        <n v="18.7"/>
        <n v="30.1"/>
        <n v="16.3"/>
        <n v="517.30000000000007"/>
        <n v="324.5"/>
        <n v="265.3"/>
        <n v="56.5"/>
        <n v="259.5"/>
        <n v="20.6"/>
        <n v="149.10000000000002"/>
        <n v="480"/>
        <n v="693"/>
        <n v="502.79999999999995"/>
        <n v="309.2"/>
        <n v="153.80000000000001"/>
        <n v="548.6"/>
        <n v="304.39999999999998"/>
        <n v="1728"/>
        <n v="1630.7"/>
        <n v="107.4"/>
        <n v="171.6"/>
        <n v="752.5"/>
        <n v="426.5"/>
        <n v="404"/>
        <n v="369.29999999999995"/>
        <n v="73.8"/>
        <n v="82"/>
        <n v="200.4"/>
        <n v="35.9"/>
        <n v="360"/>
        <n v="171.89999999999998"/>
        <n v="81.400000000000006"/>
        <n v="73.400000000000006"/>
        <n v="176.39999999999998"/>
        <n v="292.79999999999995"/>
        <n v="117.4"/>
        <n v="359.5"/>
        <n v="860.8"/>
        <n v="160.80000000000001"/>
        <n v="168.6"/>
        <n v="1061.1000000000001"/>
        <n v="240"/>
        <n v="111.89999999999999"/>
        <n v="225.9"/>
        <n v="604.80000000000007"/>
        <n v="165.2"/>
        <n v="30.6"/>
        <n v="54.6"/>
        <n v="340.4"/>
        <n v="228.90000000000003"/>
        <n v="302.10000000000002"/>
        <n v="98.6"/>
        <n v="582"/>
        <n v="134.19999999999999"/>
        <n v="271.59999999999997"/>
        <n v="212.8"/>
        <n v="1057"/>
        <n v="70.400000000000006"/>
        <n v="455.40000000000003"/>
        <n v="236.10000000000002"/>
        <n v="429.8"/>
        <n v="35"/>
        <n v="75.900000000000006"/>
        <n v="126.30000000000001"/>
        <n v="362"/>
        <n v="53.2"/>
        <n v="2464"/>
        <n v="52.4"/>
        <n v="363"/>
        <n v="23.4"/>
        <n v="452.8"/>
        <n v="53.6"/>
        <n v="33.900000000000006"/>
        <n v="180.3"/>
        <n v="304.7"/>
        <n v="133.4"/>
        <n v="195.5"/>
        <n v="99.6"/>
        <n v="146"/>
        <n v="396.2"/>
        <n v="196.70000000000002"/>
        <n v="179.10000000000002"/>
        <n v="71.900000000000006"/>
        <n v="113.8"/>
        <n v="246.8"/>
        <n v="1052"/>
        <n v="252.29999999999998"/>
        <n v="115"/>
        <n v="34.299999999999997"/>
        <n v="55.6"/>
        <n v="190"/>
        <n v="130.4"/>
        <n v="345.9"/>
        <n v="1250.0999999999999"/>
        <n v="252.60000000000002"/>
        <n v="401.8"/>
        <n v="156.89999999999998"/>
        <n v="79.800000000000011"/>
        <n v="383.2"/>
        <n v="303.09999999999997"/>
        <n v="322.40000000000003"/>
        <n v="771.30000000000007"/>
        <n v="832"/>
        <n v="471"/>
        <n v="182.39999999999998"/>
        <n v="134.39999999999998"/>
        <n v="77.599999999999994"/>
        <n v="1216.6000000000001"/>
        <n v="18.3"/>
        <n v="47.5"/>
        <n v="349.2"/>
        <n v="168.5"/>
        <n v="322.20000000000005"/>
        <n v="88.8"/>
        <n v="828"/>
        <n v="355.2"/>
        <n v="78.599999999999994"/>
        <n v="17.399999999999999"/>
        <n v="433.79999999999995"/>
        <n v="267.3"/>
        <n v="2347"/>
        <n v="380.5"/>
        <n v="281.70000000000005"/>
        <n v="748"/>
        <n v="24.4"/>
        <n v="337.6"/>
        <n v="153.19999999999999"/>
        <n v="174.6"/>
        <n v="63"/>
        <n v="152.19999999999999"/>
        <n v="117"/>
        <n v="78.5"/>
        <n v="248.5"/>
        <n v="273.60000000000002"/>
        <n v="145.80000000000001"/>
        <n v="393.90000000000003"/>
        <n v="636.9"/>
        <n v="96.7"/>
        <n v="331.20000000000005"/>
        <n v="7420"/>
        <n v="384"/>
        <n v="276.39999999999998"/>
        <n v="152.80000000000001"/>
        <n v="58"/>
        <n v="818.4"/>
        <n v="27.6"/>
        <n v="99.899999999999991"/>
        <n v="27.4"/>
        <n v="56.8"/>
        <n v="136"/>
        <n v="30.7"/>
        <n v="670.80000000000007"/>
        <n v="24.8"/>
        <n v="78.399999999999991"/>
        <n v="543"/>
        <n v="84.8"/>
        <n v="76.400000000000006"/>
        <n v="1091.7"/>
        <n v="93.8"/>
        <n v="211.79999999999998"/>
        <n v="104.4"/>
        <n v="379.5"/>
        <n v="582.79999999999995"/>
        <n v="157"/>
        <n v="34.200000000000003"/>
        <n v="35.4"/>
        <n v="1282.5"/>
        <n v="824.19999999999993"/>
        <n v="156.6"/>
        <n v="43.9"/>
        <n v="380"/>
        <n v="555.5"/>
        <n v="70.8"/>
        <n v="412"/>
        <n v="636"/>
        <n v="41.3"/>
        <n v="35.299999999999997"/>
        <n v="173.5"/>
        <n v="78.300000000000011"/>
        <n v="308.8"/>
        <n v="25"/>
        <n v="633.59999999999991"/>
        <n v="476.8"/>
        <n v="226.20000000000002"/>
        <n v="2082"/>
        <n v="283.20000000000005"/>
        <n v="29.6"/>
        <n v="250.6"/>
        <n v="33.799999999999997"/>
        <n v="101.69999999999999"/>
        <n v="1099.5"/>
        <n v="140"/>
        <n v="32.4"/>
        <n v="265.20000000000005"/>
        <n v="228.60000000000002"/>
        <n v="80.699999999999989"/>
        <n v="352.79999999999995"/>
        <n v="729.2"/>
        <n v="785"/>
        <n v="170.5"/>
        <n v="52"/>
        <n v="135.79999999999998"/>
        <n v="304.20000000000005"/>
        <n v="23.1"/>
        <n v="1046.7"/>
        <n v="576.9"/>
        <n v="655.20000000000005"/>
        <n v="116"/>
        <n v="487.20000000000005"/>
        <n v="499.80000000000007"/>
        <n v="89"/>
        <n v="25.7"/>
        <n v="208.4"/>
        <n v="31"/>
        <n v="233.2"/>
        <n v="93"/>
        <n v="141.89999999999998"/>
        <n v="18.5"/>
        <n v="120.8"/>
        <n v="401"/>
        <n v="41.5"/>
        <n v="167.8"/>
        <n v="68.400000000000006"/>
        <n v="215.8"/>
        <n v="670.5"/>
        <n v="556.20000000000005"/>
        <n v="146.39999999999998"/>
        <n v="641.29999999999995"/>
        <n v="3509.7999999999997"/>
        <n v="76.900000000000006"/>
        <n v="216.60000000000002"/>
        <n v="240.79999999999998"/>
        <n v="1495.2"/>
        <n v="215.10000000000002"/>
        <n v="241.79999999999998"/>
        <n v="1050"/>
        <n v="163.80000000000001"/>
        <n v="526.4"/>
        <n v="137.4"/>
        <n v="362.59999999999997"/>
        <n v="38.799999999999997"/>
        <n v="156.30000000000001"/>
        <n v="74.900000000000006"/>
        <n v="347.2"/>
        <n v="331.2"/>
        <n v="117.5"/>
        <n v="60.300000000000004"/>
        <n v="768"/>
        <n v="64.7"/>
        <n v="483.2"/>
        <n v="459.90000000000003"/>
        <n v="295.2"/>
        <n v="658.69999999999993"/>
        <n v="36.9"/>
        <n v="381.6"/>
        <n v="314.39999999999998"/>
        <n v="786.5"/>
        <n v="485.6"/>
        <n v="159.5"/>
        <n v="79"/>
        <n v="876.30000000000007"/>
        <n v="148.5"/>
        <n v="263.2"/>
        <n v="313.60000000000002"/>
        <n v="414.4"/>
        <n v="97.199999999999989"/>
        <n v="53.8"/>
        <n v="164.8"/>
        <n v="235.6"/>
        <n v="146.80000000000001"/>
        <n v="140.39999999999998"/>
        <n v="168.4"/>
      </sharedItems>
    </cacheField>
    <cacheField name="Order Date" numFmtId="15">
      <sharedItems containsSemiMixedTypes="0" containsNonDate="0" containsDate="1" containsString="0" minDate="2025-01-01T00:00:00" maxDate="2025-03-30T00:00:00" count="88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</sharedItems>
      <fieldGroup par="17"/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/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 count="5">
        <n v="4"/>
        <n v="3"/>
        <n v="5"/>
        <n v="1"/>
        <n v="2"/>
      </sharedItems>
    </cacheField>
    <cacheField name="State" numFmtId="0">
      <sharedItems count="1">
        <s v="California"/>
      </sharedItems>
    </cacheField>
    <cacheField name="County" numFmtId="0">
      <sharedItems count="58">
        <s v="Alpine County"/>
        <s v="Contra Costa County"/>
        <s v="Fresno County"/>
        <s v="Los Angeles County"/>
        <s v="Nevada County"/>
        <s v="Placer County"/>
        <s v="Sacramento County"/>
        <s v="San Bernardino County"/>
        <s v="San Diego County"/>
        <s v="San Mateo County"/>
        <s v="Santa Barbara County"/>
        <s v="Santa Clara County"/>
        <s v="Tehama County"/>
        <s v="Ventura County"/>
        <s v="Calaveras County"/>
        <s v="Inyo County"/>
        <s v="Napa County"/>
        <s v="San Francisco"/>
        <s v="Sonoma County"/>
        <s v="Stanislaus County"/>
        <s v="Tulare County"/>
        <s v="Alameda County"/>
        <s v="Kern County"/>
        <s v="Riverside County"/>
        <s v="Merced County"/>
        <s v="Orange County"/>
        <s v="San Joaquin County"/>
        <s v="Glenn County"/>
        <s v="Yolo County"/>
        <s v="Mendocino County"/>
        <s v="Siskiyou County"/>
        <s v="Sutter County"/>
        <s v="Santa Cruz County"/>
        <s v="Imperial County"/>
        <s v="Kings County"/>
        <s v="Plumas County"/>
        <s v="San Benito County"/>
        <s v="Madera County"/>
        <s v="Solano County"/>
        <s v="Modoc County"/>
        <s v="Mariposa County"/>
        <s v="San Luis Obispo County"/>
        <s v="El Dorado County"/>
        <s v="Marin County"/>
        <s v="Humboldt County"/>
        <s v="Trinity County"/>
        <s v="Amador County"/>
        <s v="Mono County"/>
        <s v="Sierra County"/>
        <s v="Monterey County"/>
        <s v="Lake County"/>
        <s v="Butte County"/>
        <s v="Tuolumne County"/>
        <s v="Shasta County"/>
        <s v="Colusa County"/>
        <s v="Lassen County"/>
        <s v="Yuba County"/>
        <s v="Del Norte County"/>
      </sharedItems>
    </cacheField>
    <cacheField name="Days to Deliver" numFmtId="0">
      <sharedItems containsSemiMixedTypes="0" containsString="0" containsNumber="1" containsInteger="1" minValue="0" maxValue="14" count="15">
        <n v="5"/>
        <n v="2"/>
        <n v="3"/>
        <n v="1"/>
        <n v="6"/>
        <n v="4"/>
        <n v="7"/>
        <n v="0"/>
        <n v="9"/>
        <n v="8"/>
        <n v="13"/>
        <n v="11"/>
        <n v="14"/>
        <n v="12"/>
        <n v="10"/>
      </sharedItems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 count="4">
        <s v="Unknown"/>
        <s v="Male"/>
        <s v="Female"/>
        <s v="Other"/>
      </sharedItems>
    </cacheField>
    <cacheField name="Quantity2" numFmtId="0" databaseField="0">
      <fieldGroup base="2">
        <discretePr count="48">
          <x v="0"/>
          <x v="1"/>
          <x v="2"/>
          <x v="5"/>
          <x v="6"/>
          <x v="6"/>
          <x v="6"/>
          <x v="5"/>
          <x v="5"/>
          <x v="3"/>
          <x v="6"/>
          <x v="5"/>
          <x v="4"/>
          <x v="5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</discretePr>
        <groupItems count="7">
          <n v="1"/>
          <n v="2"/>
          <n v="3"/>
          <n v="5"/>
          <n v="4"/>
          <s v="Group1"/>
          <s v="Group2"/>
        </groupItems>
      </fieldGroup>
    </cacheField>
    <cacheField name="Days (Order Date)" numFmtId="0" databaseField="0">
      <fieldGroup base="5">
        <rangePr groupBy="days" startDate="2025-01-01T00:00:00" endDate="2025-03-30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3-2025"/>
        </groupItems>
      </fieldGroup>
    </cacheField>
    <cacheField name="Months (Order Date)" numFmtId="0" databaseField="0">
      <fieldGroup base="5">
        <rangePr groupBy="months" startDate="2025-01-01T00:00:00" endDate="2025-03-30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3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x v="0"/>
    <x v="0"/>
    <x v="0"/>
    <n v="10.9"/>
    <x v="0"/>
    <x v="0"/>
    <d v="2025-01-06T00:00:00"/>
    <s v=""/>
    <x v="0"/>
    <x v="0"/>
    <x v="0"/>
    <x v="0"/>
    <x v="0"/>
    <x v="0"/>
    <x v="0"/>
  </r>
  <r>
    <x v="1"/>
    <x v="1"/>
    <x v="1"/>
    <n v="30.6"/>
    <x v="1"/>
    <x v="0"/>
    <d v="2025-01-03T00:00:00"/>
    <s v="M"/>
    <x v="0"/>
    <x v="0"/>
    <x v="0"/>
    <x v="1"/>
    <x v="1"/>
    <x v="0"/>
    <x v="1"/>
  </r>
  <r>
    <x v="2"/>
    <x v="2"/>
    <x v="2"/>
    <n v="109.4"/>
    <x v="2"/>
    <x v="0"/>
    <d v="2025-01-04T00:00:00"/>
    <s v="F"/>
    <x v="0"/>
    <x v="1"/>
    <x v="0"/>
    <x v="2"/>
    <x v="2"/>
    <x v="0"/>
    <x v="2"/>
  </r>
  <r>
    <x v="3"/>
    <x v="3"/>
    <x v="3"/>
    <n v="37.700000000000003"/>
    <x v="3"/>
    <x v="0"/>
    <d v="2025-01-02T00:00:00"/>
    <s v="F"/>
    <x v="0"/>
    <x v="0"/>
    <x v="0"/>
    <x v="2"/>
    <x v="3"/>
    <x v="0"/>
    <x v="2"/>
  </r>
  <r>
    <x v="4"/>
    <x v="4"/>
    <x v="2"/>
    <n v="56.7"/>
    <x v="4"/>
    <x v="0"/>
    <d v="2025-01-04T00:00:00"/>
    <s v="F"/>
    <x v="0"/>
    <x v="2"/>
    <x v="0"/>
    <x v="3"/>
    <x v="2"/>
    <x v="0"/>
    <x v="2"/>
  </r>
  <r>
    <x v="5"/>
    <x v="1"/>
    <x v="4"/>
    <n v="83.5"/>
    <x v="5"/>
    <x v="0"/>
    <d v="2025-01-04T00:00:00"/>
    <s v="M"/>
    <x v="1"/>
    <x v="0"/>
    <x v="0"/>
    <x v="3"/>
    <x v="2"/>
    <x v="0"/>
    <x v="1"/>
  </r>
  <r>
    <x v="6"/>
    <x v="5"/>
    <x v="0"/>
    <n v="55.3"/>
    <x v="6"/>
    <x v="0"/>
    <d v="2025-01-02T00:00:00"/>
    <s v="F"/>
    <x v="0"/>
    <x v="0"/>
    <x v="0"/>
    <x v="3"/>
    <x v="3"/>
    <x v="0"/>
    <x v="2"/>
  </r>
  <r>
    <x v="7"/>
    <x v="6"/>
    <x v="1"/>
    <n v="40.299999999999997"/>
    <x v="7"/>
    <x v="0"/>
    <d v="2025-01-02T00:00:00"/>
    <s v="M"/>
    <x v="2"/>
    <x v="2"/>
    <x v="0"/>
    <x v="3"/>
    <x v="3"/>
    <x v="0"/>
    <x v="1"/>
  </r>
  <r>
    <x v="8"/>
    <x v="7"/>
    <x v="5"/>
    <n v="35.700000000000003"/>
    <x v="8"/>
    <x v="0"/>
    <d v="2025-01-02T00:00:00"/>
    <s v="F"/>
    <x v="0"/>
    <x v="0"/>
    <x v="0"/>
    <x v="3"/>
    <x v="3"/>
    <x v="0"/>
    <x v="2"/>
  </r>
  <r>
    <x v="9"/>
    <x v="8"/>
    <x v="3"/>
    <n v="22.4"/>
    <x v="9"/>
    <x v="0"/>
    <d v="2025-01-04T00:00:00"/>
    <s v="M"/>
    <x v="0"/>
    <x v="1"/>
    <x v="0"/>
    <x v="3"/>
    <x v="2"/>
    <x v="0"/>
    <x v="1"/>
  </r>
  <r>
    <x v="10"/>
    <x v="9"/>
    <x v="1"/>
    <n v="54.4"/>
    <x v="10"/>
    <x v="0"/>
    <d v="2025-01-07T00:00:00"/>
    <s v="F"/>
    <x v="0"/>
    <x v="0"/>
    <x v="0"/>
    <x v="3"/>
    <x v="4"/>
    <x v="0"/>
    <x v="2"/>
  </r>
  <r>
    <x v="11"/>
    <x v="9"/>
    <x v="1"/>
    <n v="49"/>
    <x v="11"/>
    <x v="0"/>
    <d v="2025-01-03T00:00:00"/>
    <s v="F"/>
    <x v="2"/>
    <x v="1"/>
    <x v="0"/>
    <x v="3"/>
    <x v="1"/>
    <x v="0"/>
    <x v="2"/>
  </r>
  <r>
    <x v="12"/>
    <x v="5"/>
    <x v="3"/>
    <n v="118.6"/>
    <x v="12"/>
    <x v="0"/>
    <d v="2025-01-05T00:00:00"/>
    <s v="F"/>
    <x v="1"/>
    <x v="0"/>
    <x v="0"/>
    <x v="4"/>
    <x v="5"/>
    <x v="0"/>
    <x v="2"/>
  </r>
  <r>
    <x v="13"/>
    <x v="6"/>
    <x v="6"/>
    <n v="88.4"/>
    <x v="13"/>
    <x v="0"/>
    <d v="2025-01-08T00:00:00"/>
    <s v="M"/>
    <x v="3"/>
    <x v="0"/>
    <x v="0"/>
    <x v="5"/>
    <x v="6"/>
    <x v="0"/>
    <x v="1"/>
  </r>
  <r>
    <x v="14"/>
    <x v="10"/>
    <x v="0"/>
    <n v="66.7"/>
    <x v="14"/>
    <x v="0"/>
    <d v="2025-01-04T00:00:00"/>
    <s v="M"/>
    <x v="0"/>
    <x v="0"/>
    <x v="0"/>
    <x v="6"/>
    <x v="2"/>
    <x v="0"/>
    <x v="1"/>
  </r>
  <r>
    <x v="15"/>
    <x v="9"/>
    <x v="7"/>
    <n v="30.9"/>
    <x v="15"/>
    <x v="0"/>
    <d v="2025-01-02T00:00:00"/>
    <s v="M"/>
    <x v="1"/>
    <x v="2"/>
    <x v="0"/>
    <x v="6"/>
    <x v="3"/>
    <x v="0"/>
    <x v="1"/>
  </r>
  <r>
    <x v="16"/>
    <x v="4"/>
    <x v="2"/>
    <n v="31.1"/>
    <x v="16"/>
    <x v="0"/>
    <d v="2025-01-02T00:00:00"/>
    <s v="F"/>
    <x v="0"/>
    <x v="1"/>
    <x v="0"/>
    <x v="6"/>
    <x v="3"/>
    <x v="0"/>
    <x v="2"/>
  </r>
  <r>
    <x v="17"/>
    <x v="7"/>
    <x v="2"/>
    <n v="36.6"/>
    <x v="17"/>
    <x v="0"/>
    <d v="2025-01-04T00:00:00"/>
    <s v="F"/>
    <x v="0"/>
    <x v="0"/>
    <x v="0"/>
    <x v="7"/>
    <x v="2"/>
    <x v="0"/>
    <x v="2"/>
  </r>
  <r>
    <x v="18"/>
    <x v="6"/>
    <x v="8"/>
    <n v="51.1"/>
    <x v="18"/>
    <x v="0"/>
    <d v="2025-01-04T00:00:00"/>
    <s v="F"/>
    <x v="2"/>
    <x v="3"/>
    <x v="0"/>
    <x v="7"/>
    <x v="2"/>
    <x v="0"/>
    <x v="2"/>
  </r>
  <r>
    <x v="19"/>
    <x v="9"/>
    <x v="0"/>
    <n v="25.2"/>
    <x v="19"/>
    <x v="0"/>
    <d v="2025-01-02T00:00:00"/>
    <s v="F"/>
    <x v="1"/>
    <x v="2"/>
    <x v="0"/>
    <x v="8"/>
    <x v="3"/>
    <x v="0"/>
    <x v="2"/>
  </r>
  <r>
    <x v="20"/>
    <x v="9"/>
    <x v="9"/>
    <n v="43.8"/>
    <x v="20"/>
    <x v="0"/>
    <d v="2025-01-04T00:00:00"/>
    <s v="F"/>
    <x v="2"/>
    <x v="0"/>
    <x v="0"/>
    <x v="8"/>
    <x v="2"/>
    <x v="0"/>
    <x v="2"/>
  </r>
  <r>
    <x v="21"/>
    <x v="8"/>
    <x v="4"/>
    <n v="46.7"/>
    <x v="21"/>
    <x v="0"/>
    <d v="2025-01-02T00:00:00"/>
    <s v="F"/>
    <x v="1"/>
    <x v="1"/>
    <x v="0"/>
    <x v="8"/>
    <x v="3"/>
    <x v="0"/>
    <x v="2"/>
  </r>
  <r>
    <x v="22"/>
    <x v="3"/>
    <x v="10"/>
    <n v="79.900000000000006"/>
    <x v="22"/>
    <x v="0"/>
    <d v="2025-01-02T00:00:00"/>
    <s v="M"/>
    <x v="0"/>
    <x v="2"/>
    <x v="0"/>
    <x v="8"/>
    <x v="3"/>
    <x v="0"/>
    <x v="1"/>
  </r>
  <r>
    <x v="23"/>
    <x v="11"/>
    <x v="8"/>
    <n v="26.4"/>
    <x v="23"/>
    <x v="0"/>
    <d v="2025-01-02T00:00:00"/>
    <s v="F"/>
    <x v="3"/>
    <x v="0"/>
    <x v="0"/>
    <x v="8"/>
    <x v="3"/>
    <x v="0"/>
    <x v="2"/>
  </r>
  <r>
    <x v="24"/>
    <x v="12"/>
    <x v="8"/>
    <n v="88.8"/>
    <x v="24"/>
    <x v="0"/>
    <d v="2025-01-02T00:00:00"/>
    <s v="F"/>
    <x v="4"/>
    <x v="0"/>
    <x v="0"/>
    <x v="8"/>
    <x v="3"/>
    <x v="0"/>
    <x v="2"/>
  </r>
  <r>
    <x v="25"/>
    <x v="0"/>
    <x v="7"/>
    <n v="17.5"/>
    <x v="25"/>
    <x v="0"/>
    <d v="2025-01-02T00:00:00"/>
    <s v="F"/>
    <x v="2"/>
    <x v="0"/>
    <x v="0"/>
    <x v="9"/>
    <x v="3"/>
    <x v="0"/>
    <x v="2"/>
  </r>
  <r>
    <x v="26"/>
    <x v="1"/>
    <x v="11"/>
    <n v="38.700000000000003"/>
    <x v="26"/>
    <x v="0"/>
    <d v="2025-01-04T00:00:00"/>
    <s v="M"/>
    <x v="1"/>
    <x v="0"/>
    <x v="0"/>
    <x v="10"/>
    <x v="2"/>
    <x v="0"/>
    <x v="1"/>
  </r>
  <r>
    <x v="27"/>
    <x v="13"/>
    <x v="12"/>
    <n v="57.2"/>
    <x v="27"/>
    <x v="0"/>
    <d v="2025-01-03T00:00:00"/>
    <s v=""/>
    <x v="1"/>
    <x v="2"/>
    <x v="0"/>
    <x v="11"/>
    <x v="1"/>
    <x v="0"/>
    <x v="0"/>
  </r>
  <r>
    <x v="28"/>
    <x v="6"/>
    <x v="9"/>
    <n v="50.9"/>
    <x v="28"/>
    <x v="0"/>
    <d v="2025-01-07T00:00:00"/>
    <s v=""/>
    <x v="1"/>
    <x v="2"/>
    <x v="0"/>
    <x v="12"/>
    <x v="4"/>
    <x v="0"/>
    <x v="0"/>
  </r>
  <r>
    <x v="29"/>
    <x v="14"/>
    <x v="3"/>
    <n v="41"/>
    <x v="29"/>
    <x v="0"/>
    <d v="2025-01-05T00:00:00"/>
    <s v="F"/>
    <x v="1"/>
    <x v="0"/>
    <x v="0"/>
    <x v="13"/>
    <x v="5"/>
    <x v="0"/>
    <x v="2"/>
  </r>
  <r>
    <x v="30"/>
    <x v="8"/>
    <x v="3"/>
    <n v="19.100000000000001"/>
    <x v="30"/>
    <x v="0"/>
    <d v="2025-01-05T00:00:00"/>
    <s v="M"/>
    <x v="0"/>
    <x v="2"/>
    <x v="0"/>
    <x v="14"/>
    <x v="5"/>
    <x v="0"/>
    <x v="1"/>
  </r>
  <r>
    <x v="31"/>
    <x v="2"/>
    <x v="9"/>
    <n v="166.1"/>
    <x v="31"/>
    <x v="0"/>
    <d v="2025-01-04T00:00:00"/>
    <s v="M"/>
    <x v="0"/>
    <x v="0"/>
    <x v="0"/>
    <x v="15"/>
    <x v="2"/>
    <x v="0"/>
    <x v="1"/>
  </r>
  <r>
    <x v="32"/>
    <x v="4"/>
    <x v="2"/>
    <n v="29.9"/>
    <x v="32"/>
    <x v="0"/>
    <d v="2025-01-02T00:00:00"/>
    <s v="M"/>
    <x v="3"/>
    <x v="0"/>
    <x v="0"/>
    <x v="3"/>
    <x v="3"/>
    <x v="0"/>
    <x v="1"/>
  </r>
  <r>
    <x v="33"/>
    <x v="10"/>
    <x v="13"/>
    <n v="21.7"/>
    <x v="33"/>
    <x v="0"/>
    <d v="2025-01-03T00:00:00"/>
    <s v="O"/>
    <x v="2"/>
    <x v="2"/>
    <x v="0"/>
    <x v="3"/>
    <x v="1"/>
    <x v="0"/>
    <x v="3"/>
  </r>
  <r>
    <x v="34"/>
    <x v="11"/>
    <x v="1"/>
    <n v="32"/>
    <x v="34"/>
    <x v="0"/>
    <d v="2025-01-04T00:00:00"/>
    <s v="M"/>
    <x v="0"/>
    <x v="2"/>
    <x v="0"/>
    <x v="3"/>
    <x v="2"/>
    <x v="0"/>
    <x v="1"/>
  </r>
  <r>
    <x v="35"/>
    <x v="8"/>
    <x v="1"/>
    <n v="15.8"/>
    <x v="35"/>
    <x v="0"/>
    <d v="2025-01-02T00:00:00"/>
    <s v="M"/>
    <x v="4"/>
    <x v="2"/>
    <x v="0"/>
    <x v="3"/>
    <x v="3"/>
    <x v="0"/>
    <x v="1"/>
  </r>
  <r>
    <x v="36"/>
    <x v="2"/>
    <x v="14"/>
    <n v="203.1"/>
    <x v="36"/>
    <x v="0"/>
    <d v="2025-01-05T00:00:00"/>
    <s v="M"/>
    <x v="3"/>
    <x v="1"/>
    <x v="0"/>
    <x v="3"/>
    <x v="5"/>
    <x v="0"/>
    <x v="1"/>
  </r>
  <r>
    <x v="37"/>
    <x v="7"/>
    <x v="15"/>
    <n v="39"/>
    <x v="37"/>
    <x v="0"/>
    <d v="2025-01-07T00:00:00"/>
    <s v="M"/>
    <x v="0"/>
    <x v="2"/>
    <x v="0"/>
    <x v="3"/>
    <x v="4"/>
    <x v="0"/>
    <x v="1"/>
  </r>
  <r>
    <x v="38"/>
    <x v="10"/>
    <x v="0"/>
    <n v="26.5"/>
    <x v="38"/>
    <x v="1"/>
    <d v="2025-01-03T00:00:00"/>
    <s v="M"/>
    <x v="2"/>
    <x v="0"/>
    <x v="0"/>
    <x v="3"/>
    <x v="3"/>
    <x v="0"/>
    <x v="1"/>
  </r>
  <r>
    <x v="39"/>
    <x v="5"/>
    <x v="0"/>
    <n v="43.1"/>
    <x v="39"/>
    <x v="1"/>
    <d v="2025-01-03T00:00:00"/>
    <s v="F"/>
    <x v="2"/>
    <x v="1"/>
    <x v="0"/>
    <x v="3"/>
    <x v="3"/>
    <x v="0"/>
    <x v="2"/>
  </r>
  <r>
    <x v="40"/>
    <x v="1"/>
    <x v="2"/>
    <n v="139"/>
    <x v="40"/>
    <x v="1"/>
    <d v="2025-01-03T00:00:00"/>
    <s v="F"/>
    <x v="4"/>
    <x v="2"/>
    <x v="0"/>
    <x v="3"/>
    <x v="3"/>
    <x v="0"/>
    <x v="2"/>
  </r>
  <r>
    <x v="41"/>
    <x v="12"/>
    <x v="0"/>
    <n v="80.7"/>
    <x v="41"/>
    <x v="1"/>
    <d v="2025-01-03T00:00:00"/>
    <s v="M"/>
    <x v="0"/>
    <x v="2"/>
    <x v="0"/>
    <x v="16"/>
    <x v="3"/>
    <x v="0"/>
    <x v="1"/>
  </r>
  <r>
    <x v="42"/>
    <x v="4"/>
    <x v="1"/>
    <n v="54.5"/>
    <x v="42"/>
    <x v="1"/>
    <d v="2025-01-04T00:00:00"/>
    <s v="M"/>
    <x v="1"/>
    <x v="1"/>
    <x v="0"/>
    <x v="6"/>
    <x v="1"/>
    <x v="0"/>
    <x v="1"/>
  </r>
  <r>
    <x v="43"/>
    <x v="6"/>
    <x v="2"/>
    <n v="68.599999999999994"/>
    <x v="43"/>
    <x v="1"/>
    <d v="2025-01-02T00:00:00"/>
    <s v="F"/>
    <x v="0"/>
    <x v="1"/>
    <x v="0"/>
    <x v="8"/>
    <x v="7"/>
    <x v="0"/>
    <x v="2"/>
  </r>
  <r>
    <x v="44"/>
    <x v="2"/>
    <x v="12"/>
    <n v="135.9"/>
    <x v="44"/>
    <x v="1"/>
    <d v="2025-01-03T00:00:00"/>
    <s v="F"/>
    <x v="2"/>
    <x v="2"/>
    <x v="0"/>
    <x v="8"/>
    <x v="3"/>
    <x v="0"/>
    <x v="2"/>
  </r>
  <r>
    <x v="45"/>
    <x v="2"/>
    <x v="12"/>
    <n v="70.900000000000006"/>
    <x v="45"/>
    <x v="1"/>
    <d v="2025-01-03T00:00:00"/>
    <s v="F"/>
    <x v="0"/>
    <x v="0"/>
    <x v="0"/>
    <x v="17"/>
    <x v="3"/>
    <x v="0"/>
    <x v="2"/>
  </r>
  <r>
    <x v="46"/>
    <x v="1"/>
    <x v="9"/>
    <n v="63.7"/>
    <x v="46"/>
    <x v="1"/>
    <d v="2025-01-03T00:00:00"/>
    <s v="M"/>
    <x v="1"/>
    <x v="1"/>
    <x v="0"/>
    <x v="9"/>
    <x v="3"/>
    <x v="0"/>
    <x v="1"/>
  </r>
  <r>
    <x v="47"/>
    <x v="13"/>
    <x v="0"/>
    <n v="29.7"/>
    <x v="47"/>
    <x v="1"/>
    <d v="2025-01-04T00:00:00"/>
    <s v="F"/>
    <x v="1"/>
    <x v="0"/>
    <x v="0"/>
    <x v="11"/>
    <x v="1"/>
    <x v="0"/>
    <x v="2"/>
  </r>
  <r>
    <x v="48"/>
    <x v="4"/>
    <x v="2"/>
    <n v="26.8"/>
    <x v="48"/>
    <x v="1"/>
    <d v="2025-01-11T00:00:00"/>
    <s v="F"/>
    <x v="1"/>
    <x v="2"/>
    <x v="0"/>
    <x v="11"/>
    <x v="8"/>
    <x v="0"/>
    <x v="2"/>
  </r>
  <r>
    <x v="49"/>
    <x v="14"/>
    <x v="0"/>
    <n v="27"/>
    <x v="49"/>
    <x v="1"/>
    <d v="2025-01-04T00:00:00"/>
    <s v="F"/>
    <x v="0"/>
    <x v="0"/>
    <x v="0"/>
    <x v="18"/>
    <x v="1"/>
    <x v="0"/>
    <x v="2"/>
  </r>
  <r>
    <x v="50"/>
    <x v="8"/>
    <x v="0"/>
    <n v="41.4"/>
    <x v="50"/>
    <x v="1"/>
    <d v="2025-01-03T00:00:00"/>
    <s v="M"/>
    <x v="1"/>
    <x v="2"/>
    <x v="0"/>
    <x v="19"/>
    <x v="3"/>
    <x v="0"/>
    <x v="1"/>
  </r>
  <r>
    <x v="51"/>
    <x v="8"/>
    <x v="1"/>
    <n v="24.3"/>
    <x v="51"/>
    <x v="1"/>
    <d v="2025-01-05T00:00:00"/>
    <s v="F"/>
    <x v="1"/>
    <x v="0"/>
    <x v="0"/>
    <x v="19"/>
    <x v="2"/>
    <x v="0"/>
    <x v="2"/>
  </r>
  <r>
    <x v="52"/>
    <x v="8"/>
    <x v="2"/>
    <n v="41.7"/>
    <x v="52"/>
    <x v="1"/>
    <d v="2025-01-04T00:00:00"/>
    <s v="M"/>
    <x v="0"/>
    <x v="2"/>
    <x v="0"/>
    <x v="20"/>
    <x v="1"/>
    <x v="0"/>
    <x v="1"/>
  </r>
  <r>
    <x v="53"/>
    <x v="0"/>
    <x v="1"/>
    <n v="18"/>
    <x v="53"/>
    <x v="1"/>
    <d v="2025-01-03T00:00:00"/>
    <s v="F"/>
    <x v="0"/>
    <x v="2"/>
    <x v="0"/>
    <x v="21"/>
    <x v="3"/>
    <x v="0"/>
    <x v="2"/>
  </r>
  <r>
    <x v="54"/>
    <x v="7"/>
    <x v="2"/>
    <n v="91.3"/>
    <x v="54"/>
    <x v="1"/>
    <d v="2025-01-05T00:00:00"/>
    <s v="M"/>
    <x v="2"/>
    <x v="2"/>
    <x v="0"/>
    <x v="3"/>
    <x v="2"/>
    <x v="0"/>
    <x v="1"/>
  </r>
  <r>
    <x v="55"/>
    <x v="8"/>
    <x v="8"/>
    <n v="19.3"/>
    <x v="55"/>
    <x v="1"/>
    <d v="2025-01-03T00:00:00"/>
    <s v="M"/>
    <x v="0"/>
    <x v="0"/>
    <x v="0"/>
    <x v="3"/>
    <x v="3"/>
    <x v="0"/>
    <x v="1"/>
  </r>
  <r>
    <x v="56"/>
    <x v="12"/>
    <x v="15"/>
    <n v="63.2"/>
    <x v="56"/>
    <x v="1"/>
    <d v="2025-01-03T00:00:00"/>
    <s v="F"/>
    <x v="0"/>
    <x v="0"/>
    <x v="0"/>
    <x v="3"/>
    <x v="3"/>
    <x v="0"/>
    <x v="2"/>
  </r>
  <r>
    <x v="57"/>
    <x v="10"/>
    <x v="11"/>
    <n v="33.299999999999997"/>
    <x v="57"/>
    <x v="2"/>
    <d v="2025-01-11T00:00:00"/>
    <s v="F"/>
    <x v="0"/>
    <x v="2"/>
    <x v="0"/>
    <x v="3"/>
    <x v="9"/>
    <x v="0"/>
    <x v="2"/>
  </r>
  <r>
    <x v="58"/>
    <x v="7"/>
    <x v="1"/>
    <n v="64.2"/>
    <x v="58"/>
    <x v="2"/>
    <d v="2025-01-04T00:00:00"/>
    <s v="M"/>
    <x v="0"/>
    <x v="2"/>
    <x v="0"/>
    <x v="3"/>
    <x v="3"/>
    <x v="0"/>
    <x v="1"/>
  </r>
  <r>
    <x v="59"/>
    <x v="9"/>
    <x v="2"/>
    <n v="23.1"/>
    <x v="59"/>
    <x v="2"/>
    <d v="2025-01-06T00:00:00"/>
    <s v="F"/>
    <x v="1"/>
    <x v="2"/>
    <x v="0"/>
    <x v="3"/>
    <x v="2"/>
    <x v="0"/>
    <x v="2"/>
  </r>
  <r>
    <x v="60"/>
    <x v="15"/>
    <x v="1"/>
    <n v="71.099999999999994"/>
    <x v="60"/>
    <x v="2"/>
    <d v="2025-01-05T00:00:00"/>
    <s v="F"/>
    <x v="3"/>
    <x v="1"/>
    <x v="0"/>
    <x v="3"/>
    <x v="1"/>
    <x v="0"/>
    <x v="2"/>
  </r>
  <r>
    <x v="61"/>
    <x v="0"/>
    <x v="1"/>
    <n v="11.5"/>
    <x v="61"/>
    <x v="2"/>
    <d v="2025-01-04T00:00:00"/>
    <s v="F"/>
    <x v="0"/>
    <x v="0"/>
    <x v="0"/>
    <x v="3"/>
    <x v="3"/>
    <x v="0"/>
    <x v="2"/>
  </r>
  <r>
    <x v="62"/>
    <x v="15"/>
    <x v="10"/>
    <n v="69.2"/>
    <x v="62"/>
    <x v="2"/>
    <d v="2025-01-08T00:00:00"/>
    <s v="F"/>
    <x v="0"/>
    <x v="0"/>
    <x v="0"/>
    <x v="3"/>
    <x v="0"/>
    <x v="0"/>
    <x v="2"/>
  </r>
  <r>
    <x v="63"/>
    <x v="0"/>
    <x v="0"/>
    <n v="26.8"/>
    <x v="63"/>
    <x v="2"/>
    <d v="2025-01-04T00:00:00"/>
    <s v="M"/>
    <x v="2"/>
    <x v="4"/>
    <x v="0"/>
    <x v="3"/>
    <x v="3"/>
    <x v="0"/>
    <x v="1"/>
  </r>
  <r>
    <x v="64"/>
    <x v="16"/>
    <x v="2"/>
    <n v="31.2"/>
    <x v="64"/>
    <x v="2"/>
    <d v="2025-01-06T00:00:00"/>
    <s v="F"/>
    <x v="0"/>
    <x v="0"/>
    <x v="0"/>
    <x v="3"/>
    <x v="2"/>
    <x v="0"/>
    <x v="2"/>
  </r>
  <r>
    <x v="65"/>
    <x v="12"/>
    <x v="1"/>
    <n v="113.2"/>
    <x v="65"/>
    <x v="2"/>
    <d v="2025-01-04T00:00:00"/>
    <s v="F"/>
    <x v="4"/>
    <x v="0"/>
    <x v="0"/>
    <x v="3"/>
    <x v="3"/>
    <x v="0"/>
    <x v="2"/>
  </r>
  <r>
    <x v="66"/>
    <x v="10"/>
    <x v="8"/>
    <n v="21"/>
    <x v="66"/>
    <x v="2"/>
    <d v="2025-01-04T00:00:00"/>
    <s v="M"/>
    <x v="0"/>
    <x v="0"/>
    <x v="0"/>
    <x v="6"/>
    <x v="3"/>
    <x v="0"/>
    <x v="1"/>
  </r>
  <r>
    <x v="67"/>
    <x v="1"/>
    <x v="1"/>
    <n v="89.1"/>
    <x v="67"/>
    <x v="2"/>
    <d v="2025-01-04T00:00:00"/>
    <s v="F"/>
    <x v="2"/>
    <x v="2"/>
    <x v="0"/>
    <x v="6"/>
    <x v="3"/>
    <x v="0"/>
    <x v="2"/>
  </r>
  <r>
    <x v="68"/>
    <x v="1"/>
    <x v="0"/>
    <n v="97.7"/>
    <x v="68"/>
    <x v="2"/>
    <d v="2025-01-05T00:00:00"/>
    <s v="F"/>
    <x v="0"/>
    <x v="1"/>
    <x v="0"/>
    <x v="6"/>
    <x v="1"/>
    <x v="0"/>
    <x v="2"/>
  </r>
  <r>
    <x v="69"/>
    <x v="15"/>
    <x v="12"/>
    <n v="97.7"/>
    <x v="69"/>
    <x v="2"/>
    <d v="2025-01-05T00:00:00"/>
    <s v="M"/>
    <x v="3"/>
    <x v="0"/>
    <x v="0"/>
    <x v="6"/>
    <x v="1"/>
    <x v="0"/>
    <x v="1"/>
  </r>
  <r>
    <x v="70"/>
    <x v="17"/>
    <x v="2"/>
    <n v="47.4"/>
    <x v="60"/>
    <x v="2"/>
    <d v="2025-01-06T00:00:00"/>
    <s v="M"/>
    <x v="3"/>
    <x v="2"/>
    <x v="0"/>
    <x v="8"/>
    <x v="2"/>
    <x v="0"/>
    <x v="1"/>
  </r>
  <r>
    <x v="71"/>
    <x v="7"/>
    <x v="0"/>
    <n v="89.6"/>
    <x v="70"/>
    <x v="2"/>
    <d v="2025-01-06T00:00:00"/>
    <s v="F"/>
    <x v="0"/>
    <x v="2"/>
    <x v="0"/>
    <x v="8"/>
    <x v="2"/>
    <x v="0"/>
    <x v="2"/>
  </r>
  <r>
    <x v="72"/>
    <x v="10"/>
    <x v="16"/>
    <n v="28.4"/>
    <x v="71"/>
    <x v="2"/>
    <d v="2025-01-06T00:00:00"/>
    <s v="F"/>
    <x v="3"/>
    <x v="2"/>
    <x v="0"/>
    <x v="17"/>
    <x v="2"/>
    <x v="0"/>
    <x v="2"/>
  </r>
  <r>
    <x v="73"/>
    <x v="0"/>
    <x v="1"/>
    <n v="17.899999999999999"/>
    <x v="72"/>
    <x v="2"/>
    <d v="2025-01-04T00:00:00"/>
    <s v="F"/>
    <x v="0"/>
    <x v="2"/>
    <x v="0"/>
    <x v="9"/>
    <x v="3"/>
    <x v="0"/>
    <x v="2"/>
  </r>
  <r>
    <x v="74"/>
    <x v="9"/>
    <x v="1"/>
    <n v="48.4"/>
    <x v="73"/>
    <x v="2"/>
    <d v="2025-01-06T00:00:00"/>
    <s v="M"/>
    <x v="1"/>
    <x v="0"/>
    <x v="0"/>
    <x v="9"/>
    <x v="2"/>
    <x v="0"/>
    <x v="1"/>
  </r>
  <r>
    <x v="75"/>
    <x v="12"/>
    <x v="12"/>
    <n v="44.4"/>
    <x v="74"/>
    <x v="2"/>
    <d v="2025-01-04T00:00:00"/>
    <s v="O"/>
    <x v="1"/>
    <x v="1"/>
    <x v="0"/>
    <x v="11"/>
    <x v="3"/>
    <x v="0"/>
    <x v="3"/>
  </r>
  <r>
    <x v="76"/>
    <x v="2"/>
    <x v="8"/>
    <n v="103.7"/>
    <x v="75"/>
    <x v="2"/>
    <d v="2025-01-04T00:00:00"/>
    <s v="F"/>
    <x v="0"/>
    <x v="1"/>
    <x v="0"/>
    <x v="19"/>
    <x v="3"/>
    <x v="0"/>
    <x v="2"/>
  </r>
  <r>
    <x v="77"/>
    <x v="5"/>
    <x v="12"/>
    <n v="58.6"/>
    <x v="76"/>
    <x v="2"/>
    <d v="2025-01-05T00:00:00"/>
    <s v="M"/>
    <x v="3"/>
    <x v="0"/>
    <x v="0"/>
    <x v="19"/>
    <x v="1"/>
    <x v="0"/>
    <x v="1"/>
  </r>
  <r>
    <x v="78"/>
    <x v="9"/>
    <x v="12"/>
    <n v="54.8"/>
    <x v="77"/>
    <x v="2"/>
    <d v="2025-01-07T00:00:00"/>
    <s v="F"/>
    <x v="2"/>
    <x v="1"/>
    <x v="0"/>
    <x v="13"/>
    <x v="5"/>
    <x v="0"/>
    <x v="2"/>
  </r>
  <r>
    <x v="79"/>
    <x v="12"/>
    <x v="2"/>
    <n v="78.8"/>
    <x v="78"/>
    <x v="2"/>
    <d v="2025-01-09T00:00:00"/>
    <s v="F"/>
    <x v="4"/>
    <x v="1"/>
    <x v="0"/>
    <x v="21"/>
    <x v="4"/>
    <x v="0"/>
    <x v="2"/>
  </r>
  <r>
    <x v="80"/>
    <x v="18"/>
    <x v="9"/>
    <n v="36.799999999999997"/>
    <x v="79"/>
    <x v="2"/>
    <d v="2025-01-06T00:00:00"/>
    <s v="M"/>
    <x v="4"/>
    <x v="1"/>
    <x v="0"/>
    <x v="22"/>
    <x v="2"/>
    <x v="0"/>
    <x v="1"/>
  </r>
  <r>
    <x v="81"/>
    <x v="6"/>
    <x v="13"/>
    <n v="50.6"/>
    <x v="80"/>
    <x v="2"/>
    <d v="2025-01-05T00:00:00"/>
    <s v="F"/>
    <x v="3"/>
    <x v="0"/>
    <x v="0"/>
    <x v="3"/>
    <x v="1"/>
    <x v="0"/>
    <x v="2"/>
  </r>
  <r>
    <x v="82"/>
    <x v="15"/>
    <x v="2"/>
    <n v="36.799999999999997"/>
    <x v="81"/>
    <x v="2"/>
    <d v="2025-01-03T00:00:00"/>
    <s v="M"/>
    <x v="2"/>
    <x v="1"/>
    <x v="0"/>
    <x v="3"/>
    <x v="7"/>
    <x v="0"/>
    <x v="1"/>
  </r>
  <r>
    <x v="83"/>
    <x v="8"/>
    <x v="11"/>
    <n v="41.8"/>
    <x v="82"/>
    <x v="3"/>
    <d v="2025-01-10T00:00:00"/>
    <s v="F"/>
    <x v="3"/>
    <x v="0"/>
    <x v="0"/>
    <x v="3"/>
    <x v="4"/>
    <x v="0"/>
    <x v="2"/>
  </r>
  <r>
    <x v="84"/>
    <x v="18"/>
    <x v="0"/>
    <n v="77.3"/>
    <x v="83"/>
    <x v="3"/>
    <d v="2025-01-05T00:00:00"/>
    <s v="M"/>
    <x v="4"/>
    <x v="4"/>
    <x v="0"/>
    <x v="3"/>
    <x v="3"/>
    <x v="0"/>
    <x v="1"/>
  </r>
  <r>
    <x v="85"/>
    <x v="8"/>
    <x v="12"/>
    <n v="19.8"/>
    <x v="84"/>
    <x v="3"/>
    <d v="2025-01-10T00:00:00"/>
    <s v="M"/>
    <x v="1"/>
    <x v="2"/>
    <x v="0"/>
    <x v="3"/>
    <x v="4"/>
    <x v="0"/>
    <x v="1"/>
  </r>
  <r>
    <x v="86"/>
    <x v="13"/>
    <x v="12"/>
    <n v="15.5"/>
    <x v="85"/>
    <x v="3"/>
    <d v="2025-01-05T00:00:00"/>
    <s v="F"/>
    <x v="1"/>
    <x v="2"/>
    <x v="0"/>
    <x v="3"/>
    <x v="3"/>
    <x v="0"/>
    <x v="2"/>
  </r>
  <r>
    <x v="87"/>
    <x v="12"/>
    <x v="0"/>
    <n v="46.8"/>
    <x v="86"/>
    <x v="3"/>
    <d v="2025-01-08T00:00:00"/>
    <s v="M"/>
    <x v="0"/>
    <x v="2"/>
    <x v="0"/>
    <x v="3"/>
    <x v="5"/>
    <x v="0"/>
    <x v="1"/>
  </r>
  <r>
    <x v="88"/>
    <x v="9"/>
    <x v="11"/>
    <n v="28.6"/>
    <x v="87"/>
    <x v="3"/>
    <d v="2025-01-08T00:00:00"/>
    <s v="M"/>
    <x v="0"/>
    <x v="2"/>
    <x v="0"/>
    <x v="3"/>
    <x v="5"/>
    <x v="0"/>
    <x v="1"/>
  </r>
  <r>
    <x v="89"/>
    <x v="2"/>
    <x v="0"/>
    <n v="97.7"/>
    <x v="68"/>
    <x v="3"/>
    <d v="2025-01-07T00:00:00"/>
    <s v="F"/>
    <x v="1"/>
    <x v="0"/>
    <x v="0"/>
    <x v="3"/>
    <x v="2"/>
    <x v="0"/>
    <x v="2"/>
  </r>
  <r>
    <x v="90"/>
    <x v="9"/>
    <x v="9"/>
    <n v="54.7"/>
    <x v="88"/>
    <x v="3"/>
    <d v="2025-01-07T00:00:00"/>
    <s v=""/>
    <x v="0"/>
    <x v="2"/>
    <x v="0"/>
    <x v="23"/>
    <x v="2"/>
    <x v="0"/>
    <x v="0"/>
  </r>
  <r>
    <x v="91"/>
    <x v="2"/>
    <x v="13"/>
    <n v="130.5"/>
    <x v="89"/>
    <x v="3"/>
    <d v="2025-01-06T00:00:00"/>
    <s v="F"/>
    <x v="0"/>
    <x v="1"/>
    <x v="0"/>
    <x v="23"/>
    <x v="1"/>
    <x v="0"/>
    <x v="2"/>
  </r>
  <r>
    <x v="92"/>
    <x v="11"/>
    <x v="1"/>
    <n v="50.4"/>
    <x v="90"/>
    <x v="3"/>
    <d v="2025-01-06T00:00:00"/>
    <s v="M"/>
    <x v="2"/>
    <x v="2"/>
    <x v="0"/>
    <x v="6"/>
    <x v="1"/>
    <x v="0"/>
    <x v="1"/>
  </r>
  <r>
    <x v="93"/>
    <x v="6"/>
    <x v="15"/>
    <n v="61.5"/>
    <x v="91"/>
    <x v="3"/>
    <d v="2025-01-05T00:00:00"/>
    <s v=""/>
    <x v="3"/>
    <x v="1"/>
    <x v="0"/>
    <x v="11"/>
    <x v="3"/>
    <x v="0"/>
    <x v="0"/>
  </r>
  <r>
    <x v="94"/>
    <x v="9"/>
    <x v="12"/>
    <n v="30.1"/>
    <x v="92"/>
    <x v="3"/>
    <d v="2025-01-05T00:00:00"/>
    <s v="F"/>
    <x v="0"/>
    <x v="2"/>
    <x v="0"/>
    <x v="21"/>
    <x v="3"/>
    <x v="0"/>
    <x v="2"/>
  </r>
  <r>
    <x v="95"/>
    <x v="2"/>
    <x v="9"/>
    <n v="74.8"/>
    <x v="93"/>
    <x v="3"/>
    <d v="2025-01-05T00:00:00"/>
    <s v="F"/>
    <x v="1"/>
    <x v="0"/>
    <x v="0"/>
    <x v="1"/>
    <x v="3"/>
    <x v="0"/>
    <x v="2"/>
  </r>
  <r>
    <x v="96"/>
    <x v="16"/>
    <x v="2"/>
    <n v="64.900000000000006"/>
    <x v="94"/>
    <x v="3"/>
    <d v="2025-01-11T00:00:00"/>
    <s v="M"/>
    <x v="0"/>
    <x v="0"/>
    <x v="0"/>
    <x v="2"/>
    <x v="6"/>
    <x v="0"/>
    <x v="1"/>
  </r>
  <r>
    <x v="97"/>
    <x v="9"/>
    <x v="1"/>
    <n v="50.5"/>
    <x v="95"/>
    <x v="3"/>
    <d v="2025-01-06T00:00:00"/>
    <s v="M"/>
    <x v="1"/>
    <x v="0"/>
    <x v="0"/>
    <x v="22"/>
    <x v="1"/>
    <x v="0"/>
    <x v="1"/>
  </r>
  <r>
    <x v="98"/>
    <x v="11"/>
    <x v="3"/>
    <n v="63"/>
    <x v="96"/>
    <x v="3"/>
    <d v="2025-01-07T00:00:00"/>
    <s v="M"/>
    <x v="3"/>
    <x v="2"/>
    <x v="0"/>
    <x v="3"/>
    <x v="2"/>
    <x v="0"/>
    <x v="1"/>
  </r>
  <r>
    <x v="99"/>
    <x v="2"/>
    <x v="2"/>
    <n v="93.6"/>
    <x v="97"/>
    <x v="3"/>
    <d v="2025-01-17T00:00:00"/>
    <s v="F"/>
    <x v="0"/>
    <x v="2"/>
    <x v="0"/>
    <x v="3"/>
    <x v="10"/>
    <x v="0"/>
    <x v="2"/>
  </r>
  <r>
    <x v="100"/>
    <x v="5"/>
    <x v="17"/>
    <n v="41.4"/>
    <x v="98"/>
    <x v="3"/>
    <d v="2025-01-08T00:00:00"/>
    <s v="M"/>
    <x v="2"/>
    <x v="2"/>
    <x v="0"/>
    <x v="3"/>
    <x v="5"/>
    <x v="0"/>
    <x v="1"/>
  </r>
  <r>
    <x v="101"/>
    <x v="2"/>
    <x v="1"/>
    <n v="160"/>
    <x v="99"/>
    <x v="4"/>
    <d v="2025-01-06T00:00:00"/>
    <s v="M"/>
    <x v="2"/>
    <x v="2"/>
    <x v="0"/>
    <x v="5"/>
    <x v="3"/>
    <x v="1"/>
    <x v="1"/>
  </r>
  <r>
    <x v="102"/>
    <x v="19"/>
    <x v="5"/>
    <n v="10.5"/>
    <x v="100"/>
    <x v="4"/>
    <d v="2025-01-08T00:00:00"/>
    <s v="F"/>
    <x v="4"/>
    <x v="0"/>
    <x v="0"/>
    <x v="8"/>
    <x v="2"/>
    <x v="1"/>
    <x v="2"/>
  </r>
  <r>
    <x v="103"/>
    <x v="10"/>
    <x v="1"/>
    <n v="53"/>
    <x v="101"/>
    <x v="4"/>
    <d v="2025-01-05T00:00:00"/>
    <s v="M"/>
    <x v="2"/>
    <x v="4"/>
    <x v="0"/>
    <x v="17"/>
    <x v="7"/>
    <x v="1"/>
    <x v="1"/>
  </r>
  <r>
    <x v="104"/>
    <x v="8"/>
    <x v="2"/>
    <n v="18.5"/>
    <x v="102"/>
    <x v="4"/>
    <d v="2025-01-10T00:00:00"/>
    <s v="F"/>
    <x v="1"/>
    <x v="2"/>
    <x v="0"/>
    <x v="11"/>
    <x v="0"/>
    <x v="1"/>
    <x v="2"/>
  </r>
  <r>
    <x v="105"/>
    <x v="16"/>
    <x v="2"/>
    <n v="84.5"/>
    <x v="103"/>
    <x v="4"/>
    <d v="2025-01-07T00:00:00"/>
    <s v="F"/>
    <x v="4"/>
    <x v="1"/>
    <x v="0"/>
    <x v="13"/>
    <x v="1"/>
    <x v="1"/>
    <x v="2"/>
  </r>
  <r>
    <x v="106"/>
    <x v="15"/>
    <x v="3"/>
    <n v="31.2"/>
    <x v="104"/>
    <x v="4"/>
    <d v="2025-01-05T00:00:00"/>
    <s v="F"/>
    <x v="2"/>
    <x v="2"/>
    <x v="0"/>
    <x v="3"/>
    <x v="7"/>
    <x v="1"/>
    <x v="2"/>
  </r>
  <r>
    <x v="107"/>
    <x v="8"/>
    <x v="16"/>
    <n v="32.6"/>
    <x v="105"/>
    <x v="4"/>
    <d v="2025-01-06T00:00:00"/>
    <s v="M"/>
    <x v="1"/>
    <x v="1"/>
    <x v="0"/>
    <x v="3"/>
    <x v="3"/>
    <x v="1"/>
    <x v="1"/>
  </r>
  <r>
    <x v="108"/>
    <x v="10"/>
    <x v="12"/>
    <n v="45.4"/>
    <x v="106"/>
    <x v="4"/>
    <d v="2025-01-07T00:00:00"/>
    <s v="M"/>
    <x v="1"/>
    <x v="0"/>
    <x v="0"/>
    <x v="3"/>
    <x v="1"/>
    <x v="1"/>
    <x v="1"/>
  </r>
  <r>
    <x v="109"/>
    <x v="2"/>
    <x v="4"/>
    <n v="120"/>
    <x v="107"/>
    <x v="4"/>
    <d v="2025-01-06T00:00:00"/>
    <s v="F"/>
    <x v="2"/>
    <x v="4"/>
    <x v="0"/>
    <x v="3"/>
    <x v="3"/>
    <x v="1"/>
    <x v="2"/>
  </r>
  <r>
    <x v="110"/>
    <x v="0"/>
    <x v="12"/>
    <n v="18.899999999999999"/>
    <x v="108"/>
    <x v="4"/>
    <d v="2025-01-07T00:00:00"/>
    <s v="M"/>
    <x v="0"/>
    <x v="2"/>
    <x v="0"/>
    <x v="3"/>
    <x v="1"/>
    <x v="1"/>
    <x v="1"/>
  </r>
  <r>
    <x v="111"/>
    <x v="4"/>
    <x v="0"/>
    <n v="32"/>
    <x v="109"/>
    <x v="4"/>
    <d v="2025-01-07T00:00:00"/>
    <s v="F"/>
    <x v="4"/>
    <x v="0"/>
    <x v="0"/>
    <x v="3"/>
    <x v="1"/>
    <x v="1"/>
    <x v="2"/>
  </r>
  <r>
    <x v="112"/>
    <x v="7"/>
    <x v="1"/>
    <n v="37.299999999999997"/>
    <x v="110"/>
    <x v="4"/>
    <d v="2025-01-06T00:00:00"/>
    <s v="M"/>
    <x v="2"/>
    <x v="0"/>
    <x v="0"/>
    <x v="3"/>
    <x v="3"/>
    <x v="1"/>
    <x v="1"/>
  </r>
  <r>
    <x v="113"/>
    <x v="18"/>
    <x v="0"/>
    <n v="119.8"/>
    <x v="111"/>
    <x v="4"/>
    <d v="2025-01-06T00:00:00"/>
    <s v="M"/>
    <x v="1"/>
    <x v="1"/>
    <x v="0"/>
    <x v="3"/>
    <x v="3"/>
    <x v="1"/>
    <x v="1"/>
  </r>
  <r>
    <x v="114"/>
    <x v="10"/>
    <x v="1"/>
    <n v="26.4"/>
    <x v="112"/>
    <x v="4"/>
    <d v="2025-01-08T00:00:00"/>
    <s v="M"/>
    <x v="2"/>
    <x v="0"/>
    <x v="0"/>
    <x v="3"/>
    <x v="2"/>
    <x v="1"/>
    <x v="1"/>
  </r>
  <r>
    <x v="115"/>
    <x v="6"/>
    <x v="13"/>
    <n v="76.5"/>
    <x v="113"/>
    <x v="4"/>
    <d v="2025-01-06T00:00:00"/>
    <s v="F"/>
    <x v="1"/>
    <x v="1"/>
    <x v="0"/>
    <x v="3"/>
    <x v="3"/>
    <x v="1"/>
    <x v="2"/>
  </r>
  <r>
    <x v="116"/>
    <x v="4"/>
    <x v="7"/>
    <n v="45.7"/>
    <x v="114"/>
    <x v="4"/>
    <d v="2025-01-06T00:00:00"/>
    <s v="F"/>
    <x v="2"/>
    <x v="0"/>
    <x v="0"/>
    <x v="24"/>
    <x v="3"/>
    <x v="1"/>
    <x v="2"/>
  </r>
  <r>
    <x v="117"/>
    <x v="1"/>
    <x v="4"/>
    <n v="92.6"/>
    <x v="115"/>
    <x v="4"/>
    <d v="2025-01-07T00:00:00"/>
    <s v="F"/>
    <x v="2"/>
    <x v="0"/>
    <x v="0"/>
    <x v="25"/>
    <x v="1"/>
    <x v="1"/>
    <x v="2"/>
  </r>
  <r>
    <x v="118"/>
    <x v="6"/>
    <x v="13"/>
    <n v="60.1"/>
    <x v="116"/>
    <x v="4"/>
    <d v="2025-01-06T00:00:00"/>
    <s v="M"/>
    <x v="1"/>
    <x v="0"/>
    <x v="0"/>
    <x v="23"/>
    <x v="3"/>
    <x v="1"/>
    <x v="1"/>
  </r>
  <r>
    <x v="119"/>
    <x v="1"/>
    <x v="2"/>
    <n v="73"/>
    <x v="20"/>
    <x v="4"/>
    <d v="2025-01-06T00:00:00"/>
    <s v="F"/>
    <x v="3"/>
    <x v="1"/>
    <x v="0"/>
    <x v="6"/>
    <x v="3"/>
    <x v="1"/>
    <x v="2"/>
  </r>
  <r>
    <x v="120"/>
    <x v="6"/>
    <x v="2"/>
    <n v="44.3"/>
    <x v="117"/>
    <x v="4"/>
    <d v="2025-01-09T00:00:00"/>
    <s v=""/>
    <x v="2"/>
    <x v="2"/>
    <x v="0"/>
    <x v="6"/>
    <x v="5"/>
    <x v="1"/>
    <x v="0"/>
  </r>
  <r>
    <x v="121"/>
    <x v="6"/>
    <x v="2"/>
    <n v="63.3"/>
    <x v="118"/>
    <x v="4"/>
    <d v="2025-01-06T00:00:00"/>
    <s v="M"/>
    <x v="2"/>
    <x v="0"/>
    <x v="0"/>
    <x v="6"/>
    <x v="3"/>
    <x v="1"/>
    <x v="1"/>
  </r>
  <r>
    <x v="122"/>
    <x v="12"/>
    <x v="0"/>
    <n v="66.8"/>
    <x v="119"/>
    <x v="4"/>
    <d v="2025-01-06T00:00:00"/>
    <s v="F"/>
    <x v="1"/>
    <x v="0"/>
    <x v="0"/>
    <x v="6"/>
    <x v="3"/>
    <x v="1"/>
    <x v="2"/>
  </r>
  <r>
    <x v="123"/>
    <x v="2"/>
    <x v="1"/>
    <n v="59.7"/>
    <x v="120"/>
    <x v="4"/>
    <d v="2025-01-06T00:00:00"/>
    <s v="F"/>
    <x v="0"/>
    <x v="0"/>
    <x v="0"/>
    <x v="7"/>
    <x v="3"/>
    <x v="1"/>
    <x v="2"/>
  </r>
  <r>
    <x v="124"/>
    <x v="1"/>
    <x v="13"/>
    <n v="92"/>
    <x v="121"/>
    <x v="4"/>
    <d v="2025-01-07T00:00:00"/>
    <s v="M"/>
    <x v="0"/>
    <x v="4"/>
    <x v="0"/>
    <x v="7"/>
    <x v="1"/>
    <x v="1"/>
    <x v="1"/>
  </r>
  <r>
    <x v="125"/>
    <x v="7"/>
    <x v="1"/>
    <n v="87.6"/>
    <x v="122"/>
    <x v="4"/>
    <d v="2025-01-07T00:00:00"/>
    <s v="M"/>
    <x v="1"/>
    <x v="1"/>
    <x v="0"/>
    <x v="8"/>
    <x v="1"/>
    <x v="1"/>
    <x v="1"/>
  </r>
  <r>
    <x v="126"/>
    <x v="6"/>
    <x v="2"/>
    <n v="84.5"/>
    <x v="103"/>
    <x v="4"/>
    <d v="2025-01-06T00:00:00"/>
    <s v="F"/>
    <x v="1"/>
    <x v="1"/>
    <x v="0"/>
    <x v="8"/>
    <x v="3"/>
    <x v="1"/>
    <x v="2"/>
  </r>
  <r>
    <x v="127"/>
    <x v="1"/>
    <x v="1"/>
    <n v="116.3"/>
    <x v="123"/>
    <x v="5"/>
    <d v="2025-01-08T00:00:00"/>
    <s v="M"/>
    <x v="2"/>
    <x v="2"/>
    <x v="0"/>
    <x v="8"/>
    <x v="1"/>
    <x v="1"/>
    <x v="1"/>
  </r>
  <r>
    <x v="128"/>
    <x v="6"/>
    <x v="9"/>
    <n v="52.7"/>
    <x v="124"/>
    <x v="5"/>
    <d v="2025-01-10T00:00:00"/>
    <s v="M"/>
    <x v="0"/>
    <x v="0"/>
    <x v="0"/>
    <x v="8"/>
    <x v="5"/>
    <x v="1"/>
    <x v="1"/>
  </r>
  <r>
    <x v="129"/>
    <x v="16"/>
    <x v="2"/>
    <n v="34.200000000000003"/>
    <x v="125"/>
    <x v="5"/>
    <d v="2025-01-07T00:00:00"/>
    <s v="M"/>
    <x v="0"/>
    <x v="2"/>
    <x v="0"/>
    <x v="26"/>
    <x v="3"/>
    <x v="1"/>
    <x v="1"/>
  </r>
  <r>
    <x v="130"/>
    <x v="9"/>
    <x v="0"/>
    <n v="23.3"/>
    <x v="126"/>
    <x v="5"/>
    <d v="2025-01-15T00:00:00"/>
    <s v="O"/>
    <x v="2"/>
    <x v="2"/>
    <x v="0"/>
    <x v="9"/>
    <x v="8"/>
    <x v="1"/>
    <x v="3"/>
  </r>
  <r>
    <x v="131"/>
    <x v="0"/>
    <x v="18"/>
    <n v="25.9"/>
    <x v="127"/>
    <x v="5"/>
    <d v="2025-01-09T00:00:00"/>
    <s v="F"/>
    <x v="4"/>
    <x v="1"/>
    <x v="0"/>
    <x v="9"/>
    <x v="2"/>
    <x v="1"/>
    <x v="2"/>
  </r>
  <r>
    <x v="132"/>
    <x v="6"/>
    <x v="19"/>
    <n v="54.9"/>
    <x v="128"/>
    <x v="5"/>
    <d v="2025-01-07T00:00:00"/>
    <s v="M"/>
    <x v="1"/>
    <x v="2"/>
    <x v="0"/>
    <x v="9"/>
    <x v="3"/>
    <x v="1"/>
    <x v="1"/>
  </r>
  <r>
    <x v="133"/>
    <x v="5"/>
    <x v="2"/>
    <n v="75.8"/>
    <x v="129"/>
    <x v="5"/>
    <d v="2025-01-11T00:00:00"/>
    <s v="O"/>
    <x v="1"/>
    <x v="0"/>
    <x v="0"/>
    <x v="18"/>
    <x v="0"/>
    <x v="1"/>
    <x v="3"/>
  </r>
  <r>
    <x v="134"/>
    <x v="1"/>
    <x v="11"/>
    <n v="44.9"/>
    <x v="130"/>
    <x v="5"/>
    <d v="2025-01-09T00:00:00"/>
    <s v="F"/>
    <x v="2"/>
    <x v="2"/>
    <x v="0"/>
    <x v="2"/>
    <x v="2"/>
    <x v="1"/>
    <x v="2"/>
  </r>
  <r>
    <x v="135"/>
    <x v="11"/>
    <x v="1"/>
    <n v="48.8"/>
    <x v="131"/>
    <x v="5"/>
    <d v="2025-01-08T00:00:00"/>
    <s v="F"/>
    <x v="3"/>
    <x v="0"/>
    <x v="0"/>
    <x v="27"/>
    <x v="1"/>
    <x v="1"/>
    <x v="2"/>
  </r>
  <r>
    <x v="136"/>
    <x v="15"/>
    <x v="0"/>
    <n v="20.3"/>
    <x v="132"/>
    <x v="5"/>
    <d v="2025-01-07T00:00:00"/>
    <s v="F"/>
    <x v="0"/>
    <x v="2"/>
    <x v="0"/>
    <x v="22"/>
    <x v="3"/>
    <x v="1"/>
    <x v="2"/>
  </r>
  <r>
    <x v="137"/>
    <x v="5"/>
    <x v="3"/>
    <n v="36.4"/>
    <x v="133"/>
    <x v="5"/>
    <d v="2025-01-09T00:00:00"/>
    <s v="F"/>
    <x v="0"/>
    <x v="1"/>
    <x v="0"/>
    <x v="3"/>
    <x v="2"/>
    <x v="1"/>
    <x v="2"/>
  </r>
  <r>
    <x v="138"/>
    <x v="0"/>
    <x v="0"/>
    <n v="19"/>
    <x v="134"/>
    <x v="5"/>
    <d v="2025-01-11T00:00:00"/>
    <s v="F"/>
    <x v="1"/>
    <x v="2"/>
    <x v="0"/>
    <x v="3"/>
    <x v="0"/>
    <x v="1"/>
    <x v="2"/>
  </r>
  <r>
    <x v="139"/>
    <x v="8"/>
    <x v="0"/>
    <n v="17.8"/>
    <x v="135"/>
    <x v="5"/>
    <d v="2025-01-06T00:00:00"/>
    <s v="M"/>
    <x v="0"/>
    <x v="0"/>
    <x v="0"/>
    <x v="3"/>
    <x v="7"/>
    <x v="1"/>
    <x v="1"/>
  </r>
  <r>
    <x v="140"/>
    <x v="2"/>
    <x v="13"/>
    <n v="139.6"/>
    <x v="136"/>
    <x v="5"/>
    <d v="2025-01-09T00:00:00"/>
    <s v="M"/>
    <x v="0"/>
    <x v="0"/>
    <x v="0"/>
    <x v="3"/>
    <x v="2"/>
    <x v="1"/>
    <x v="1"/>
  </r>
  <r>
    <x v="141"/>
    <x v="9"/>
    <x v="0"/>
    <n v="31.7"/>
    <x v="137"/>
    <x v="5"/>
    <d v="2025-01-06T00:00:00"/>
    <s v=""/>
    <x v="0"/>
    <x v="0"/>
    <x v="0"/>
    <x v="3"/>
    <x v="7"/>
    <x v="1"/>
    <x v="0"/>
  </r>
  <r>
    <x v="142"/>
    <x v="8"/>
    <x v="8"/>
    <n v="26.3"/>
    <x v="138"/>
    <x v="5"/>
    <d v="2025-01-09T00:00:00"/>
    <s v="F"/>
    <x v="4"/>
    <x v="4"/>
    <x v="0"/>
    <x v="3"/>
    <x v="2"/>
    <x v="1"/>
    <x v="2"/>
  </r>
  <r>
    <x v="143"/>
    <x v="4"/>
    <x v="1"/>
    <n v="47.8"/>
    <x v="139"/>
    <x v="5"/>
    <d v="2025-01-07T00:00:00"/>
    <s v=""/>
    <x v="0"/>
    <x v="0"/>
    <x v="0"/>
    <x v="3"/>
    <x v="3"/>
    <x v="1"/>
    <x v="0"/>
  </r>
  <r>
    <x v="144"/>
    <x v="9"/>
    <x v="2"/>
    <n v="69.400000000000006"/>
    <x v="140"/>
    <x v="5"/>
    <d v="2025-01-10T00:00:00"/>
    <s v="F"/>
    <x v="0"/>
    <x v="0"/>
    <x v="0"/>
    <x v="3"/>
    <x v="5"/>
    <x v="1"/>
    <x v="2"/>
  </r>
  <r>
    <x v="145"/>
    <x v="18"/>
    <x v="4"/>
    <n v="25.8"/>
    <x v="141"/>
    <x v="5"/>
    <d v="2025-01-07T00:00:00"/>
    <s v="M"/>
    <x v="4"/>
    <x v="4"/>
    <x v="0"/>
    <x v="3"/>
    <x v="3"/>
    <x v="1"/>
    <x v="1"/>
  </r>
  <r>
    <x v="146"/>
    <x v="0"/>
    <x v="12"/>
    <n v="26.4"/>
    <x v="142"/>
    <x v="5"/>
    <d v="2025-01-07T00:00:00"/>
    <s v="M"/>
    <x v="1"/>
    <x v="2"/>
    <x v="0"/>
    <x v="3"/>
    <x v="3"/>
    <x v="1"/>
    <x v="1"/>
  </r>
  <r>
    <x v="147"/>
    <x v="8"/>
    <x v="12"/>
    <n v="15.7"/>
    <x v="143"/>
    <x v="5"/>
    <d v="2025-01-07T00:00:00"/>
    <s v="M"/>
    <x v="2"/>
    <x v="0"/>
    <x v="0"/>
    <x v="3"/>
    <x v="3"/>
    <x v="1"/>
    <x v="1"/>
  </r>
  <r>
    <x v="148"/>
    <x v="8"/>
    <x v="0"/>
    <n v="39.700000000000003"/>
    <x v="144"/>
    <x v="5"/>
    <d v="2025-01-10T00:00:00"/>
    <s v="M"/>
    <x v="0"/>
    <x v="0"/>
    <x v="0"/>
    <x v="3"/>
    <x v="5"/>
    <x v="1"/>
    <x v="1"/>
  </r>
  <r>
    <x v="149"/>
    <x v="10"/>
    <x v="12"/>
    <n v="31.1"/>
    <x v="145"/>
    <x v="5"/>
    <d v="2025-01-08T00:00:00"/>
    <s v="F"/>
    <x v="2"/>
    <x v="1"/>
    <x v="0"/>
    <x v="3"/>
    <x v="1"/>
    <x v="1"/>
    <x v="2"/>
  </r>
  <r>
    <x v="150"/>
    <x v="13"/>
    <x v="20"/>
    <n v="23.4"/>
    <x v="146"/>
    <x v="5"/>
    <d v="2025-01-15T00:00:00"/>
    <s v="M"/>
    <x v="0"/>
    <x v="0"/>
    <x v="0"/>
    <x v="3"/>
    <x v="8"/>
    <x v="1"/>
    <x v="1"/>
  </r>
  <r>
    <x v="151"/>
    <x v="1"/>
    <x v="12"/>
    <n v="57.1"/>
    <x v="147"/>
    <x v="6"/>
    <d v="2025-01-08T00:00:00"/>
    <s v="M"/>
    <x v="2"/>
    <x v="0"/>
    <x v="0"/>
    <x v="25"/>
    <x v="3"/>
    <x v="1"/>
    <x v="1"/>
  </r>
  <r>
    <x v="152"/>
    <x v="2"/>
    <x v="9"/>
    <n v="89.9"/>
    <x v="148"/>
    <x v="6"/>
    <d v="2025-01-07T00:00:00"/>
    <s v="F"/>
    <x v="0"/>
    <x v="3"/>
    <x v="0"/>
    <x v="23"/>
    <x v="7"/>
    <x v="1"/>
    <x v="2"/>
  </r>
  <r>
    <x v="153"/>
    <x v="10"/>
    <x v="3"/>
    <n v="48.1"/>
    <x v="149"/>
    <x v="6"/>
    <d v="2025-01-09T00:00:00"/>
    <s v="F"/>
    <x v="1"/>
    <x v="2"/>
    <x v="0"/>
    <x v="6"/>
    <x v="1"/>
    <x v="1"/>
    <x v="2"/>
  </r>
  <r>
    <x v="154"/>
    <x v="8"/>
    <x v="1"/>
    <n v="29.3"/>
    <x v="150"/>
    <x v="6"/>
    <d v="2025-01-07T00:00:00"/>
    <s v="F"/>
    <x v="1"/>
    <x v="1"/>
    <x v="0"/>
    <x v="6"/>
    <x v="7"/>
    <x v="1"/>
    <x v="2"/>
  </r>
  <r>
    <x v="155"/>
    <x v="8"/>
    <x v="12"/>
    <n v="28.8"/>
    <x v="151"/>
    <x v="6"/>
    <d v="2025-01-08T00:00:00"/>
    <s v="F"/>
    <x v="0"/>
    <x v="4"/>
    <x v="0"/>
    <x v="6"/>
    <x v="3"/>
    <x v="1"/>
    <x v="2"/>
  </r>
  <r>
    <x v="156"/>
    <x v="10"/>
    <x v="9"/>
    <n v="40.5"/>
    <x v="152"/>
    <x v="6"/>
    <d v="2025-01-11T00:00:00"/>
    <s v="F"/>
    <x v="3"/>
    <x v="0"/>
    <x v="0"/>
    <x v="6"/>
    <x v="5"/>
    <x v="1"/>
    <x v="2"/>
  </r>
  <r>
    <x v="157"/>
    <x v="18"/>
    <x v="21"/>
    <n v="65.099999999999994"/>
    <x v="153"/>
    <x v="6"/>
    <d v="2025-01-08T00:00:00"/>
    <s v="F"/>
    <x v="4"/>
    <x v="0"/>
    <x v="0"/>
    <x v="7"/>
    <x v="3"/>
    <x v="1"/>
    <x v="2"/>
  </r>
  <r>
    <x v="158"/>
    <x v="8"/>
    <x v="12"/>
    <n v="40.299999999999997"/>
    <x v="154"/>
    <x v="6"/>
    <d v="2025-01-12T00:00:00"/>
    <s v="F"/>
    <x v="2"/>
    <x v="0"/>
    <x v="0"/>
    <x v="7"/>
    <x v="0"/>
    <x v="1"/>
    <x v="2"/>
  </r>
  <r>
    <x v="159"/>
    <x v="6"/>
    <x v="9"/>
    <n v="51.8"/>
    <x v="155"/>
    <x v="6"/>
    <d v="2025-01-08T00:00:00"/>
    <s v="M"/>
    <x v="2"/>
    <x v="2"/>
    <x v="0"/>
    <x v="8"/>
    <x v="3"/>
    <x v="1"/>
    <x v="1"/>
  </r>
  <r>
    <x v="160"/>
    <x v="6"/>
    <x v="2"/>
    <n v="61.3"/>
    <x v="156"/>
    <x v="6"/>
    <d v="2025-01-08T00:00:00"/>
    <s v="F"/>
    <x v="3"/>
    <x v="0"/>
    <x v="0"/>
    <x v="8"/>
    <x v="3"/>
    <x v="1"/>
    <x v="2"/>
  </r>
  <r>
    <x v="161"/>
    <x v="2"/>
    <x v="12"/>
    <n v="122.5"/>
    <x v="157"/>
    <x v="6"/>
    <d v="2025-01-08T00:00:00"/>
    <s v="M"/>
    <x v="0"/>
    <x v="0"/>
    <x v="0"/>
    <x v="8"/>
    <x v="3"/>
    <x v="1"/>
    <x v="1"/>
  </r>
  <r>
    <x v="162"/>
    <x v="0"/>
    <x v="11"/>
    <n v="12.5"/>
    <x v="158"/>
    <x v="6"/>
    <d v="2025-01-08T00:00:00"/>
    <s v=""/>
    <x v="1"/>
    <x v="2"/>
    <x v="0"/>
    <x v="8"/>
    <x v="3"/>
    <x v="1"/>
    <x v="0"/>
  </r>
  <r>
    <x v="163"/>
    <x v="15"/>
    <x v="8"/>
    <n v="37.5"/>
    <x v="159"/>
    <x v="6"/>
    <d v="2025-01-08T00:00:00"/>
    <s v="F"/>
    <x v="0"/>
    <x v="0"/>
    <x v="0"/>
    <x v="9"/>
    <x v="3"/>
    <x v="1"/>
    <x v="2"/>
  </r>
  <r>
    <x v="164"/>
    <x v="6"/>
    <x v="2"/>
    <n v="40"/>
    <x v="160"/>
    <x v="6"/>
    <d v="2025-01-10T00:00:00"/>
    <s v="M"/>
    <x v="0"/>
    <x v="4"/>
    <x v="0"/>
    <x v="11"/>
    <x v="2"/>
    <x v="1"/>
    <x v="1"/>
  </r>
  <r>
    <x v="165"/>
    <x v="17"/>
    <x v="8"/>
    <n v="38.5"/>
    <x v="161"/>
    <x v="6"/>
    <d v="2025-01-12T00:00:00"/>
    <s v="F"/>
    <x v="2"/>
    <x v="1"/>
    <x v="0"/>
    <x v="11"/>
    <x v="0"/>
    <x v="1"/>
    <x v="2"/>
  </r>
  <r>
    <x v="166"/>
    <x v="2"/>
    <x v="1"/>
    <n v="86.4"/>
    <x v="162"/>
    <x v="6"/>
    <d v="2025-01-09T00:00:00"/>
    <s v="F"/>
    <x v="0"/>
    <x v="0"/>
    <x v="0"/>
    <x v="18"/>
    <x v="1"/>
    <x v="1"/>
    <x v="2"/>
  </r>
  <r>
    <x v="167"/>
    <x v="10"/>
    <x v="0"/>
    <n v="50.7"/>
    <x v="163"/>
    <x v="6"/>
    <d v="2025-01-11T00:00:00"/>
    <s v="F"/>
    <x v="1"/>
    <x v="0"/>
    <x v="0"/>
    <x v="18"/>
    <x v="5"/>
    <x v="1"/>
    <x v="2"/>
  </r>
  <r>
    <x v="168"/>
    <x v="10"/>
    <x v="1"/>
    <n v="61"/>
    <x v="164"/>
    <x v="6"/>
    <d v="2025-01-18T00:00:00"/>
    <s v="F"/>
    <x v="4"/>
    <x v="1"/>
    <x v="0"/>
    <x v="18"/>
    <x v="11"/>
    <x v="1"/>
    <x v="2"/>
  </r>
  <r>
    <x v="169"/>
    <x v="4"/>
    <x v="1"/>
    <n v="19.899999999999999"/>
    <x v="165"/>
    <x v="6"/>
    <d v="2025-01-10T00:00:00"/>
    <s v="F"/>
    <x v="1"/>
    <x v="0"/>
    <x v="0"/>
    <x v="28"/>
    <x v="2"/>
    <x v="1"/>
    <x v="2"/>
  </r>
  <r>
    <x v="170"/>
    <x v="5"/>
    <x v="0"/>
    <n v="78.3"/>
    <x v="166"/>
    <x v="6"/>
    <d v="2025-01-07T00:00:00"/>
    <s v="F"/>
    <x v="0"/>
    <x v="2"/>
    <x v="0"/>
    <x v="1"/>
    <x v="7"/>
    <x v="1"/>
    <x v="2"/>
  </r>
  <r>
    <x v="171"/>
    <x v="0"/>
    <x v="10"/>
    <n v="10.4"/>
    <x v="167"/>
    <x v="6"/>
    <d v="2025-01-09T00:00:00"/>
    <s v="M"/>
    <x v="0"/>
    <x v="2"/>
    <x v="0"/>
    <x v="2"/>
    <x v="1"/>
    <x v="1"/>
    <x v="1"/>
  </r>
  <r>
    <x v="172"/>
    <x v="10"/>
    <x v="0"/>
    <n v="36.1"/>
    <x v="168"/>
    <x v="6"/>
    <d v="2025-01-10T00:00:00"/>
    <s v="M"/>
    <x v="3"/>
    <x v="2"/>
    <x v="0"/>
    <x v="3"/>
    <x v="2"/>
    <x v="1"/>
    <x v="1"/>
  </r>
  <r>
    <x v="173"/>
    <x v="14"/>
    <x v="1"/>
    <n v="17.3"/>
    <x v="169"/>
    <x v="6"/>
    <d v="2025-01-09T00:00:00"/>
    <s v="F"/>
    <x v="1"/>
    <x v="2"/>
    <x v="0"/>
    <x v="3"/>
    <x v="1"/>
    <x v="1"/>
    <x v="2"/>
  </r>
  <r>
    <x v="174"/>
    <x v="10"/>
    <x v="1"/>
    <n v="30.5"/>
    <x v="170"/>
    <x v="6"/>
    <d v="2025-01-08T00:00:00"/>
    <s v="F"/>
    <x v="1"/>
    <x v="2"/>
    <x v="0"/>
    <x v="3"/>
    <x v="3"/>
    <x v="1"/>
    <x v="2"/>
  </r>
  <r>
    <x v="175"/>
    <x v="18"/>
    <x v="22"/>
    <n v="70.099999999999994"/>
    <x v="171"/>
    <x v="6"/>
    <d v="2025-01-07T00:00:00"/>
    <s v="F"/>
    <x v="2"/>
    <x v="0"/>
    <x v="0"/>
    <x v="3"/>
    <x v="7"/>
    <x v="1"/>
    <x v="2"/>
  </r>
  <r>
    <x v="176"/>
    <x v="3"/>
    <x v="0"/>
    <n v="76.099999999999994"/>
    <x v="172"/>
    <x v="6"/>
    <d v="2025-01-07T00:00:00"/>
    <s v="F"/>
    <x v="2"/>
    <x v="1"/>
    <x v="0"/>
    <x v="3"/>
    <x v="7"/>
    <x v="1"/>
    <x v="2"/>
  </r>
  <r>
    <x v="177"/>
    <x v="15"/>
    <x v="15"/>
    <n v="34.200000000000003"/>
    <x v="173"/>
    <x v="6"/>
    <d v="2025-01-08T00:00:00"/>
    <s v="M"/>
    <x v="0"/>
    <x v="0"/>
    <x v="0"/>
    <x v="3"/>
    <x v="3"/>
    <x v="1"/>
    <x v="1"/>
  </r>
  <r>
    <x v="178"/>
    <x v="8"/>
    <x v="9"/>
    <n v="30.3"/>
    <x v="174"/>
    <x v="6"/>
    <d v="2025-01-12T00:00:00"/>
    <s v="F"/>
    <x v="4"/>
    <x v="0"/>
    <x v="0"/>
    <x v="3"/>
    <x v="0"/>
    <x v="1"/>
    <x v="2"/>
  </r>
  <r>
    <x v="179"/>
    <x v="6"/>
    <x v="9"/>
    <n v="52.5"/>
    <x v="175"/>
    <x v="6"/>
    <d v="2025-01-11T00:00:00"/>
    <s v=""/>
    <x v="3"/>
    <x v="0"/>
    <x v="0"/>
    <x v="3"/>
    <x v="5"/>
    <x v="1"/>
    <x v="0"/>
  </r>
  <r>
    <x v="180"/>
    <x v="9"/>
    <x v="5"/>
    <n v="28.7"/>
    <x v="176"/>
    <x v="6"/>
    <d v="2025-01-08T00:00:00"/>
    <s v="F"/>
    <x v="2"/>
    <x v="0"/>
    <x v="0"/>
    <x v="3"/>
    <x v="3"/>
    <x v="1"/>
    <x v="2"/>
  </r>
  <r>
    <x v="181"/>
    <x v="7"/>
    <x v="3"/>
    <n v="52"/>
    <x v="177"/>
    <x v="6"/>
    <d v="2025-01-08T00:00:00"/>
    <s v="M"/>
    <x v="1"/>
    <x v="4"/>
    <x v="0"/>
    <x v="3"/>
    <x v="3"/>
    <x v="1"/>
    <x v="1"/>
  </r>
  <r>
    <x v="182"/>
    <x v="0"/>
    <x v="0"/>
    <n v="13.3"/>
    <x v="178"/>
    <x v="7"/>
    <d v="2025-01-12T00:00:00"/>
    <s v="F"/>
    <x v="2"/>
    <x v="1"/>
    <x v="0"/>
    <x v="3"/>
    <x v="5"/>
    <x v="1"/>
    <x v="2"/>
  </r>
  <r>
    <x v="183"/>
    <x v="0"/>
    <x v="2"/>
    <n v="15.7"/>
    <x v="179"/>
    <x v="7"/>
    <d v="2025-01-09T00:00:00"/>
    <s v="F"/>
    <x v="1"/>
    <x v="0"/>
    <x v="0"/>
    <x v="29"/>
    <x v="3"/>
    <x v="1"/>
    <x v="2"/>
  </r>
  <r>
    <x v="184"/>
    <x v="8"/>
    <x v="1"/>
    <n v="25.6"/>
    <x v="180"/>
    <x v="7"/>
    <d v="2025-01-09T00:00:00"/>
    <s v="M"/>
    <x v="0"/>
    <x v="2"/>
    <x v="0"/>
    <x v="23"/>
    <x v="3"/>
    <x v="1"/>
    <x v="1"/>
  </r>
  <r>
    <x v="185"/>
    <x v="8"/>
    <x v="0"/>
    <n v="43.4"/>
    <x v="181"/>
    <x v="7"/>
    <d v="2025-01-13T00:00:00"/>
    <s v="M"/>
    <x v="0"/>
    <x v="0"/>
    <x v="0"/>
    <x v="6"/>
    <x v="0"/>
    <x v="1"/>
    <x v="1"/>
  </r>
  <r>
    <x v="186"/>
    <x v="11"/>
    <x v="11"/>
    <n v="33.4"/>
    <x v="182"/>
    <x v="7"/>
    <d v="2025-01-08T00:00:00"/>
    <s v="F"/>
    <x v="0"/>
    <x v="0"/>
    <x v="0"/>
    <x v="8"/>
    <x v="7"/>
    <x v="1"/>
    <x v="2"/>
  </r>
  <r>
    <x v="187"/>
    <x v="8"/>
    <x v="10"/>
    <n v="55"/>
    <x v="183"/>
    <x v="7"/>
    <d v="2025-01-09T00:00:00"/>
    <s v="F"/>
    <x v="1"/>
    <x v="2"/>
    <x v="0"/>
    <x v="8"/>
    <x v="3"/>
    <x v="1"/>
    <x v="2"/>
  </r>
  <r>
    <x v="188"/>
    <x v="8"/>
    <x v="2"/>
    <n v="23.6"/>
    <x v="184"/>
    <x v="7"/>
    <d v="2025-01-09T00:00:00"/>
    <s v="M"/>
    <x v="0"/>
    <x v="2"/>
    <x v="0"/>
    <x v="8"/>
    <x v="3"/>
    <x v="1"/>
    <x v="1"/>
  </r>
  <r>
    <x v="189"/>
    <x v="12"/>
    <x v="11"/>
    <n v="104"/>
    <x v="185"/>
    <x v="7"/>
    <d v="2025-01-10T00:00:00"/>
    <s v="F"/>
    <x v="2"/>
    <x v="2"/>
    <x v="0"/>
    <x v="17"/>
    <x v="1"/>
    <x v="1"/>
    <x v="2"/>
  </r>
  <r>
    <x v="190"/>
    <x v="6"/>
    <x v="1"/>
    <n v="51.8"/>
    <x v="186"/>
    <x v="7"/>
    <d v="2025-01-12T00:00:00"/>
    <s v=""/>
    <x v="0"/>
    <x v="2"/>
    <x v="0"/>
    <x v="10"/>
    <x v="5"/>
    <x v="1"/>
    <x v="0"/>
  </r>
  <r>
    <x v="191"/>
    <x v="10"/>
    <x v="9"/>
    <n v="34.5"/>
    <x v="187"/>
    <x v="7"/>
    <d v="2025-01-10T00:00:00"/>
    <s v=""/>
    <x v="2"/>
    <x v="2"/>
    <x v="0"/>
    <x v="11"/>
    <x v="1"/>
    <x v="1"/>
    <x v="0"/>
  </r>
  <r>
    <x v="192"/>
    <x v="6"/>
    <x v="1"/>
    <n v="51.8"/>
    <x v="186"/>
    <x v="7"/>
    <d v="2025-01-10T00:00:00"/>
    <s v="M"/>
    <x v="1"/>
    <x v="2"/>
    <x v="0"/>
    <x v="30"/>
    <x v="1"/>
    <x v="1"/>
    <x v="1"/>
  </r>
  <r>
    <x v="193"/>
    <x v="18"/>
    <x v="23"/>
    <n v="131.5"/>
    <x v="188"/>
    <x v="7"/>
    <d v="2025-01-09T00:00:00"/>
    <s v="F"/>
    <x v="0"/>
    <x v="2"/>
    <x v="0"/>
    <x v="18"/>
    <x v="3"/>
    <x v="1"/>
    <x v="2"/>
  </r>
  <r>
    <x v="194"/>
    <x v="8"/>
    <x v="3"/>
    <n v="47.8"/>
    <x v="189"/>
    <x v="7"/>
    <d v="2025-01-08T00:00:00"/>
    <s v="F"/>
    <x v="0"/>
    <x v="0"/>
    <x v="0"/>
    <x v="19"/>
    <x v="7"/>
    <x v="1"/>
    <x v="2"/>
  </r>
  <r>
    <x v="195"/>
    <x v="0"/>
    <x v="1"/>
    <n v="10.199999999999999"/>
    <x v="190"/>
    <x v="7"/>
    <d v="2025-01-10T00:00:00"/>
    <s v="F"/>
    <x v="0"/>
    <x v="0"/>
    <x v="0"/>
    <x v="19"/>
    <x v="1"/>
    <x v="1"/>
    <x v="2"/>
  </r>
  <r>
    <x v="196"/>
    <x v="8"/>
    <x v="8"/>
    <n v="41"/>
    <x v="191"/>
    <x v="7"/>
    <d v="2025-01-08T00:00:00"/>
    <s v="F"/>
    <x v="1"/>
    <x v="2"/>
    <x v="0"/>
    <x v="19"/>
    <x v="7"/>
    <x v="1"/>
    <x v="2"/>
  </r>
  <r>
    <x v="197"/>
    <x v="10"/>
    <x v="3"/>
    <n v="50.8"/>
    <x v="192"/>
    <x v="7"/>
    <d v="2025-01-11T00:00:00"/>
    <s v="F"/>
    <x v="1"/>
    <x v="0"/>
    <x v="0"/>
    <x v="21"/>
    <x v="2"/>
    <x v="1"/>
    <x v="2"/>
  </r>
  <r>
    <x v="198"/>
    <x v="18"/>
    <x v="2"/>
    <n v="39.6"/>
    <x v="193"/>
    <x v="7"/>
    <d v="2025-01-09T00:00:00"/>
    <s v="M"/>
    <x v="2"/>
    <x v="2"/>
    <x v="0"/>
    <x v="1"/>
    <x v="3"/>
    <x v="1"/>
    <x v="1"/>
  </r>
  <r>
    <x v="199"/>
    <x v="5"/>
    <x v="1"/>
    <n v="69.5"/>
    <x v="194"/>
    <x v="7"/>
    <d v="2025-01-10T00:00:00"/>
    <s v="M"/>
    <x v="0"/>
    <x v="2"/>
    <x v="0"/>
    <x v="2"/>
    <x v="1"/>
    <x v="1"/>
    <x v="1"/>
  </r>
  <r>
    <x v="200"/>
    <x v="8"/>
    <x v="8"/>
    <n v="32.6"/>
    <x v="195"/>
    <x v="7"/>
    <d v="2025-01-11T00:00:00"/>
    <s v="M"/>
    <x v="1"/>
    <x v="0"/>
    <x v="0"/>
    <x v="3"/>
    <x v="2"/>
    <x v="1"/>
    <x v="1"/>
  </r>
  <r>
    <x v="201"/>
    <x v="7"/>
    <x v="1"/>
    <n v="49.1"/>
    <x v="196"/>
    <x v="7"/>
    <d v="2025-01-16T00:00:00"/>
    <s v="M"/>
    <x v="3"/>
    <x v="2"/>
    <x v="0"/>
    <x v="3"/>
    <x v="9"/>
    <x v="1"/>
    <x v="1"/>
  </r>
  <r>
    <x v="202"/>
    <x v="6"/>
    <x v="1"/>
    <n v="49.4"/>
    <x v="197"/>
    <x v="8"/>
    <d v="2025-01-10T00:00:00"/>
    <s v="F"/>
    <x v="2"/>
    <x v="0"/>
    <x v="0"/>
    <x v="3"/>
    <x v="3"/>
    <x v="1"/>
    <x v="2"/>
  </r>
  <r>
    <x v="203"/>
    <x v="7"/>
    <x v="3"/>
    <n v="65.099999999999994"/>
    <x v="198"/>
    <x v="8"/>
    <d v="2025-01-12T00:00:00"/>
    <s v="F"/>
    <x v="2"/>
    <x v="2"/>
    <x v="0"/>
    <x v="3"/>
    <x v="2"/>
    <x v="1"/>
    <x v="2"/>
  </r>
  <r>
    <x v="204"/>
    <x v="3"/>
    <x v="1"/>
    <n v="52.1"/>
    <x v="199"/>
    <x v="8"/>
    <d v="2025-01-13T00:00:00"/>
    <s v="F"/>
    <x v="2"/>
    <x v="0"/>
    <x v="0"/>
    <x v="3"/>
    <x v="5"/>
    <x v="1"/>
    <x v="2"/>
  </r>
  <r>
    <x v="205"/>
    <x v="2"/>
    <x v="12"/>
    <n v="129.19999999999999"/>
    <x v="200"/>
    <x v="8"/>
    <d v="2025-01-10T00:00:00"/>
    <s v="F"/>
    <x v="1"/>
    <x v="0"/>
    <x v="0"/>
    <x v="3"/>
    <x v="3"/>
    <x v="1"/>
    <x v="2"/>
  </r>
  <r>
    <x v="206"/>
    <x v="1"/>
    <x v="10"/>
    <n v="81.8"/>
    <x v="201"/>
    <x v="8"/>
    <d v="2025-01-09T00:00:00"/>
    <s v="F"/>
    <x v="1"/>
    <x v="1"/>
    <x v="0"/>
    <x v="3"/>
    <x v="7"/>
    <x v="1"/>
    <x v="2"/>
  </r>
  <r>
    <x v="207"/>
    <x v="17"/>
    <x v="0"/>
    <n v="24.9"/>
    <x v="202"/>
    <x v="8"/>
    <d v="2025-01-13T00:00:00"/>
    <s v="F"/>
    <x v="1"/>
    <x v="0"/>
    <x v="0"/>
    <x v="3"/>
    <x v="5"/>
    <x v="1"/>
    <x v="2"/>
  </r>
  <r>
    <x v="208"/>
    <x v="0"/>
    <x v="2"/>
    <n v="49.4"/>
    <x v="203"/>
    <x v="8"/>
    <d v="2025-01-12T00:00:00"/>
    <s v="F"/>
    <x v="4"/>
    <x v="4"/>
    <x v="0"/>
    <x v="3"/>
    <x v="2"/>
    <x v="1"/>
    <x v="2"/>
  </r>
  <r>
    <x v="209"/>
    <x v="8"/>
    <x v="1"/>
    <n v="22.7"/>
    <x v="204"/>
    <x v="8"/>
    <d v="2025-01-10T00:00:00"/>
    <s v="M"/>
    <x v="3"/>
    <x v="2"/>
    <x v="0"/>
    <x v="3"/>
    <x v="3"/>
    <x v="1"/>
    <x v="1"/>
  </r>
  <r>
    <x v="210"/>
    <x v="1"/>
    <x v="0"/>
    <n v="77.3"/>
    <x v="83"/>
    <x v="8"/>
    <d v="2025-01-09T00:00:00"/>
    <s v="F"/>
    <x v="0"/>
    <x v="2"/>
    <x v="0"/>
    <x v="6"/>
    <x v="7"/>
    <x v="1"/>
    <x v="2"/>
  </r>
  <r>
    <x v="211"/>
    <x v="1"/>
    <x v="9"/>
    <n v="109.1"/>
    <x v="205"/>
    <x v="8"/>
    <d v="2025-01-12T00:00:00"/>
    <s v="F"/>
    <x v="0"/>
    <x v="0"/>
    <x v="0"/>
    <x v="6"/>
    <x v="2"/>
    <x v="1"/>
    <x v="2"/>
  </r>
  <r>
    <x v="212"/>
    <x v="2"/>
    <x v="12"/>
    <n v="53.9"/>
    <x v="206"/>
    <x v="8"/>
    <d v="2025-01-10T00:00:00"/>
    <s v="M"/>
    <x v="0"/>
    <x v="1"/>
    <x v="0"/>
    <x v="8"/>
    <x v="3"/>
    <x v="1"/>
    <x v="1"/>
  </r>
  <r>
    <x v="213"/>
    <x v="9"/>
    <x v="18"/>
    <n v="21.2"/>
    <x v="207"/>
    <x v="8"/>
    <d v="2025-01-09T00:00:00"/>
    <s v="F"/>
    <x v="0"/>
    <x v="0"/>
    <x v="0"/>
    <x v="9"/>
    <x v="7"/>
    <x v="1"/>
    <x v="2"/>
  </r>
  <r>
    <x v="214"/>
    <x v="16"/>
    <x v="12"/>
    <n v="69"/>
    <x v="208"/>
    <x v="8"/>
    <d v="2025-01-11T00:00:00"/>
    <s v="F"/>
    <x v="1"/>
    <x v="1"/>
    <x v="0"/>
    <x v="18"/>
    <x v="1"/>
    <x v="1"/>
    <x v="2"/>
  </r>
  <r>
    <x v="215"/>
    <x v="6"/>
    <x v="2"/>
    <n v="46.2"/>
    <x v="209"/>
    <x v="8"/>
    <d v="2025-01-11T00:00:00"/>
    <s v="F"/>
    <x v="0"/>
    <x v="2"/>
    <x v="0"/>
    <x v="31"/>
    <x v="1"/>
    <x v="1"/>
    <x v="2"/>
  </r>
  <r>
    <x v="216"/>
    <x v="1"/>
    <x v="9"/>
    <n v="97.4"/>
    <x v="210"/>
    <x v="8"/>
    <d v="2025-01-13T00:00:00"/>
    <s v="F"/>
    <x v="4"/>
    <x v="2"/>
    <x v="0"/>
    <x v="21"/>
    <x v="5"/>
    <x v="1"/>
    <x v="2"/>
  </r>
  <r>
    <x v="217"/>
    <x v="8"/>
    <x v="9"/>
    <n v="21"/>
    <x v="211"/>
    <x v="8"/>
    <d v="2025-01-10T00:00:00"/>
    <s v="M"/>
    <x v="0"/>
    <x v="1"/>
    <x v="0"/>
    <x v="21"/>
    <x v="3"/>
    <x v="1"/>
    <x v="1"/>
  </r>
  <r>
    <x v="218"/>
    <x v="5"/>
    <x v="1"/>
    <n v="32.700000000000003"/>
    <x v="212"/>
    <x v="9"/>
    <d v="2025-01-13T00:00:00"/>
    <s v="F"/>
    <x v="1"/>
    <x v="0"/>
    <x v="0"/>
    <x v="2"/>
    <x v="2"/>
    <x v="1"/>
    <x v="2"/>
  </r>
  <r>
    <x v="219"/>
    <x v="6"/>
    <x v="12"/>
    <n v="48"/>
    <x v="213"/>
    <x v="9"/>
    <d v="2025-01-11T00:00:00"/>
    <s v="M"/>
    <x v="3"/>
    <x v="0"/>
    <x v="0"/>
    <x v="3"/>
    <x v="3"/>
    <x v="1"/>
    <x v="1"/>
  </r>
  <r>
    <x v="220"/>
    <x v="6"/>
    <x v="2"/>
    <n v="68.2"/>
    <x v="214"/>
    <x v="9"/>
    <d v="2025-01-14T00:00:00"/>
    <s v=""/>
    <x v="0"/>
    <x v="2"/>
    <x v="0"/>
    <x v="3"/>
    <x v="5"/>
    <x v="1"/>
    <x v="0"/>
  </r>
  <r>
    <x v="221"/>
    <x v="5"/>
    <x v="0"/>
    <n v="45.4"/>
    <x v="204"/>
    <x v="9"/>
    <d v="2025-01-12T00:00:00"/>
    <s v="M"/>
    <x v="1"/>
    <x v="0"/>
    <x v="0"/>
    <x v="3"/>
    <x v="1"/>
    <x v="1"/>
    <x v="1"/>
  </r>
  <r>
    <x v="222"/>
    <x v="12"/>
    <x v="1"/>
    <n v="53.9"/>
    <x v="215"/>
    <x v="9"/>
    <d v="2025-01-11T00:00:00"/>
    <s v="F"/>
    <x v="2"/>
    <x v="0"/>
    <x v="0"/>
    <x v="3"/>
    <x v="3"/>
    <x v="1"/>
    <x v="2"/>
  </r>
  <r>
    <x v="223"/>
    <x v="2"/>
    <x v="12"/>
    <n v="62.1"/>
    <x v="216"/>
    <x v="9"/>
    <d v="2025-01-14T00:00:00"/>
    <s v="F"/>
    <x v="0"/>
    <x v="0"/>
    <x v="0"/>
    <x v="4"/>
    <x v="5"/>
    <x v="1"/>
    <x v="2"/>
  </r>
  <r>
    <x v="224"/>
    <x v="13"/>
    <x v="3"/>
    <n v="33.1"/>
    <x v="217"/>
    <x v="9"/>
    <d v="2025-01-15T00:00:00"/>
    <s v="M"/>
    <x v="1"/>
    <x v="0"/>
    <x v="0"/>
    <x v="6"/>
    <x v="0"/>
    <x v="1"/>
    <x v="1"/>
  </r>
  <r>
    <x v="225"/>
    <x v="18"/>
    <x v="9"/>
    <n v="35.200000000000003"/>
    <x v="218"/>
    <x v="9"/>
    <d v="2025-01-10T00:00:00"/>
    <s v="F"/>
    <x v="1"/>
    <x v="0"/>
    <x v="0"/>
    <x v="6"/>
    <x v="7"/>
    <x v="1"/>
    <x v="2"/>
  </r>
  <r>
    <x v="226"/>
    <x v="9"/>
    <x v="2"/>
    <n v="32.1"/>
    <x v="219"/>
    <x v="9"/>
    <d v="2025-01-15T00:00:00"/>
    <s v="M"/>
    <x v="3"/>
    <x v="0"/>
    <x v="0"/>
    <x v="8"/>
    <x v="0"/>
    <x v="1"/>
    <x v="1"/>
  </r>
  <r>
    <x v="227"/>
    <x v="11"/>
    <x v="0"/>
    <n v="38.1"/>
    <x v="220"/>
    <x v="9"/>
    <d v="2025-01-15T00:00:00"/>
    <s v="F"/>
    <x v="0"/>
    <x v="2"/>
    <x v="0"/>
    <x v="8"/>
    <x v="0"/>
    <x v="1"/>
    <x v="2"/>
  </r>
  <r>
    <x v="228"/>
    <x v="8"/>
    <x v="0"/>
    <n v="65.2"/>
    <x v="221"/>
    <x v="9"/>
    <d v="2025-01-15T00:00:00"/>
    <s v="F"/>
    <x v="3"/>
    <x v="1"/>
    <x v="0"/>
    <x v="8"/>
    <x v="0"/>
    <x v="1"/>
    <x v="2"/>
  </r>
  <r>
    <x v="229"/>
    <x v="10"/>
    <x v="3"/>
    <n v="55.2"/>
    <x v="222"/>
    <x v="9"/>
    <d v="2025-01-11T00:00:00"/>
    <s v="M"/>
    <x v="2"/>
    <x v="0"/>
    <x v="0"/>
    <x v="11"/>
    <x v="3"/>
    <x v="1"/>
    <x v="1"/>
  </r>
  <r>
    <x v="230"/>
    <x v="6"/>
    <x v="0"/>
    <n v="62"/>
    <x v="85"/>
    <x v="9"/>
    <d v="2025-01-14T00:00:00"/>
    <s v="F"/>
    <x v="0"/>
    <x v="0"/>
    <x v="0"/>
    <x v="11"/>
    <x v="5"/>
    <x v="1"/>
    <x v="2"/>
  </r>
  <r>
    <x v="231"/>
    <x v="7"/>
    <x v="2"/>
    <n v="45.9"/>
    <x v="223"/>
    <x v="9"/>
    <d v="2025-01-11T00:00:00"/>
    <s v="F"/>
    <x v="2"/>
    <x v="0"/>
    <x v="0"/>
    <x v="32"/>
    <x v="3"/>
    <x v="1"/>
    <x v="2"/>
  </r>
  <r>
    <x v="232"/>
    <x v="18"/>
    <x v="2"/>
    <n v="58.3"/>
    <x v="224"/>
    <x v="9"/>
    <d v="2025-01-10T00:00:00"/>
    <s v="M"/>
    <x v="1"/>
    <x v="1"/>
    <x v="0"/>
    <x v="18"/>
    <x v="7"/>
    <x v="1"/>
    <x v="1"/>
  </r>
  <r>
    <x v="233"/>
    <x v="8"/>
    <x v="1"/>
    <n v="22.3"/>
    <x v="225"/>
    <x v="9"/>
    <d v="2025-01-13T00:00:00"/>
    <s v="F"/>
    <x v="0"/>
    <x v="2"/>
    <x v="0"/>
    <x v="20"/>
    <x v="2"/>
    <x v="1"/>
    <x v="2"/>
  </r>
  <r>
    <x v="234"/>
    <x v="19"/>
    <x v="9"/>
    <n v="24"/>
    <x v="160"/>
    <x v="9"/>
    <d v="2025-01-11T00:00:00"/>
    <s v="M"/>
    <x v="4"/>
    <x v="0"/>
    <x v="0"/>
    <x v="1"/>
    <x v="3"/>
    <x v="1"/>
    <x v="1"/>
  </r>
  <r>
    <x v="235"/>
    <x v="0"/>
    <x v="7"/>
    <n v="21.3"/>
    <x v="226"/>
    <x v="9"/>
    <d v="2025-01-10T00:00:00"/>
    <s v="F"/>
    <x v="1"/>
    <x v="2"/>
    <x v="0"/>
    <x v="22"/>
    <x v="7"/>
    <x v="1"/>
    <x v="2"/>
  </r>
  <r>
    <x v="236"/>
    <x v="6"/>
    <x v="24"/>
    <n v="57.8"/>
    <x v="227"/>
    <x v="9"/>
    <d v="2025-01-12T00:00:00"/>
    <s v="F"/>
    <x v="0"/>
    <x v="2"/>
    <x v="0"/>
    <x v="3"/>
    <x v="1"/>
    <x v="1"/>
    <x v="2"/>
  </r>
  <r>
    <x v="237"/>
    <x v="10"/>
    <x v="2"/>
    <n v="67.599999999999994"/>
    <x v="228"/>
    <x v="9"/>
    <d v="2025-01-11T00:00:00"/>
    <s v="F"/>
    <x v="0"/>
    <x v="0"/>
    <x v="0"/>
    <x v="3"/>
    <x v="3"/>
    <x v="1"/>
    <x v="2"/>
  </r>
  <r>
    <x v="238"/>
    <x v="6"/>
    <x v="13"/>
    <n v="66.7"/>
    <x v="229"/>
    <x v="9"/>
    <d v="2025-01-14T00:00:00"/>
    <s v="M"/>
    <x v="4"/>
    <x v="1"/>
    <x v="0"/>
    <x v="3"/>
    <x v="5"/>
    <x v="1"/>
    <x v="1"/>
  </r>
  <r>
    <x v="239"/>
    <x v="1"/>
    <x v="12"/>
    <n v="53.1"/>
    <x v="230"/>
    <x v="9"/>
    <d v="2025-01-12T00:00:00"/>
    <s v="F"/>
    <x v="1"/>
    <x v="0"/>
    <x v="0"/>
    <x v="3"/>
    <x v="1"/>
    <x v="1"/>
    <x v="2"/>
  </r>
  <r>
    <x v="240"/>
    <x v="12"/>
    <x v="2"/>
    <n v="57.4"/>
    <x v="231"/>
    <x v="9"/>
    <d v="2025-01-13T00:00:00"/>
    <s v="F"/>
    <x v="0"/>
    <x v="2"/>
    <x v="0"/>
    <x v="29"/>
    <x v="2"/>
    <x v="1"/>
    <x v="2"/>
  </r>
  <r>
    <x v="241"/>
    <x v="2"/>
    <x v="9"/>
    <n v="58.1"/>
    <x v="232"/>
    <x v="9"/>
    <d v="2025-01-10T00:00:00"/>
    <s v="M"/>
    <x v="2"/>
    <x v="2"/>
    <x v="0"/>
    <x v="6"/>
    <x v="7"/>
    <x v="1"/>
    <x v="1"/>
  </r>
  <r>
    <x v="242"/>
    <x v="5"/>
    <x v="2"/>
    <n v="31.8"/>
    <x v="233"/>
    <x v="10"/>
    <d v="2025-01-13T00:00:00"/>
    <s v="M"/>
    <x v="3"/>
    <x v="0"/>
    <x v="0"/>
    <x v="6"/>
    <x v="1"/>
    <x v="1"/>
    <x v="1"/>
  </r>
  <r>
    <x v="243"/>
    <x v="4"/>
    <x v="2"/>
    <n v="31.5"/>
    <x v="234"/>
    <x v="10"/>
    <d v="2025-01-14T00:00:00"/>
    <s v="M"/>
    <x v="0"/>
    <x v="1"/>
    <x v="0"/>
    <x v="8"/>
    <x v="2"/>
    <x v="1"/>
    <x v="1"/>
  </r>
  <r>
    <x v="244"/>
    <x v="6"/>
    <x v="3"/>
    <n v="55.9"/>
    <x v="235"/>
    <x v="10"/>
    <d v="2025-01-15T00:00:00"/>
    <s v="F"/>
    <x v="1"/>
    <x v="2"/>
    <x v="0"/>
    <x v="8"/>
    <x v="5"/>
    <x v="1"/>
    <x v="2"/>
  </r>
  <r>
    <x v="245"/>
    <x v="8"/>
    <x v="1"/>
    <n v="36.4"/>
    <x v="236"/>
    <x v="10"/>
    <d v="2025-01-12T00:00:00"/>
    <s v="M"/>
    <x v="1"/>
    <x v="1"/>
    <x v="0"/>
    <x v="9"/>
    <x v="3"/>
    <x v="1"/>
    <x v="1"/>
  </r>
  <r>
    <x v="246"/>
    <x v="1"/>
    <x v="9"/>
    <n v="47.3"/>
    <x v="237"/>
    <x v="10"/>
    <d v="2025-01-14T00:00:00"/>
    <s v="M"/>
    <x v="2"/>
    <x v="0"/>
    <x v="0"/>
    <x v="10"/>
    <x v="2"/>
    <x v="1"/>
    <x v="1"/>
  </r>
  <r>
    <x v="247"/>
    <x v="6"/>
    <x v="2"/>
    <n v="82.5"/>
    <x v="238"/>
    <x v="10"/>
    <d v="2025-01-12T00:00:00"/>
    <s v="M"/>
    <x v="0"/>
    <x v="0"/>
    <x v="0"/>
    <x v="11"/>
    <x v="3"/>
    <x v="1"/>
    <x v="1"/>
  </r>
  <r>
    <x v="248"/>
    <x v="0"/>
    <x v="0"/>
    <n v="14.3"/>
    <x v="239"/>
    <x v="10"/>
    <d v="2025-01-12T00:00:00"/>
    <s v="F"/>
    <x v="0"/>
    <x v="0"/>
    <x v="0"/>
    <x v="21"/>
    <x v="3"/>
    <x v="1"/>
    <x v="2"/>
  </r>
  <r>
    <x v="249"/>
    <x v="2"/>
    <x v="13"/>
    <n v="57.6"/>
    <x v="240"/>
    <x v="10"/>
    <d v="2025-01-25T00:00:00"/>
    <s v="F"/>
    <x v="0"/>
    <x v="0"/>
    <x v="0"/>
    <x v="21"/>
    <x v="12"/>
    <x v="1"/>
    <x v="2"/>
  </r>
  <r>
    <x v="250"/>
    <x v="2"/>
    <x v="2"/>
    <n v="142.4"/>
    <x v="241"/>
    <x v="10"/>
    <d v="2025-01-13T00:00:00"/>
    <s v="M"/>
    <x v="4"/>
    <x v="1"/>
    <x v="0"/>
    <x v="21"/>
    <x v="1"/>
    <x v="1"/>
    <x v="1"/>
  </r>
  <r>
    <x v="251"/>
    <x v="12"/>
    <x v="0"/>
    <n v="30.2"/>
    <x v="242"/>
    <x v="10"/>
    <d v="2025-01-15T00:00:00"/>
    <s v="M"/>
    <x v="1"/>
    <x v="2"/>
    <x v="0"/>
    <x v="2"/>
    <x v="5"/>
    <x v="1"/>
    <x v="1"/>
  </r>
  <r>
    <x v="252"/>
    <x v="18"/>
    <x v="2"/>
    <n v="65.3"/>
    <x v="243"/>
    <x v="10"/>
    <d v="2025-01-12T00:00:00"/>
    <s v="O"/>
    <x v="1"/>
    <x v="0"/>
    <x v="0"/>
    <x v="33"/>
    <x v="3"/>
    <x v="1"/>
    <x v="3"/>
  </r>
  <r>
    <x v="253"/>
    <x v="0"/>
    <x v="1"/>
    <n v="33.4"/>
    <x v="119"/>
    <x v="10"/>
    <d v="2025-01-12T00:00:00"/>
    <s v="M"/>
    <x v="1"/>
    <x v="1"/>
    <x v="0"/>
    <x v="22"/>
    <x v="3"/>
    <x v="1"/>
    <x v="1"/>
  </r>
  <r>
    <x v="254"/>
    <x v="7"/>
    <x v="1"/>
    <n v="45.1"/>
    <x v="244"/>
    <x v="10"/>
    <d v="2025-01-19T00:00:00"/>
    <s v="M"/>
    <x v="0"/>
    <x v="0"/>
    <x v="0"/>
    <x v="34"/>
    <x v="9"/>
    <x v="1"/>
    <x v="1"/>
  </r>
  <r>
    <x v="255"/>
    <x v="2"/>
    <x v="3"/>
    <n v="61.7"/>
    <x v="245"/>
    <x v="10"/>
    <d v="2025-01-13T00:00:00"/>
    <s v="F"/>
    <x v="4"/>
    <x v="0"/>
    <x v="0"/>
    <x v="3"/>
    <x v="1"/>
    <x v="1"/>
    <x v="2"/>
  </r>
  <r>
    <x v="256"/>
    <x v="9"/>
    <x v="2"/>
    <n v="45.1"/>
    <x v="246"/>
    <x v="11"/>
    <d v="2025-01-13T00:00:00"/>
    <s v="M"/>
    <x v="4"/>
    <x v="1"/>
    <x v="0"/>
    <x v="3"/>
    <x v="3"/>
    <x v="2"/>
    <x v="1"/>
  </r>
  <r>
    <x v="257"/>
    <x v="15"/>
    <x v="9"/>
    <n v="22.7"/>
    <x v="247"/>
    <x v="11"/>
    <d v="2025-01-17T00:00:00"/>
    <s v="M"/>
    <x v="0"/>
    <x v="2"/>
    <x v="0"/>
    <x v="35"/>
    <x v="0"/>
    <x v="2"/>
    <x v="1"/>
  </r>
  <r>
    <x v="258"/>
    <x v="8"/>
    <x v="0"/>
    <n v="17.600000000000001"/>
    <x v="248"/>
    <x v="11"/>
    <d v="2025-01-13T00:00:00"/>
    <s v="F"/>
    <x v="0"/>
    <x v="2"/>
    <x v="0"/>
    <x v="23"/>
    <x v="3"/>
    <x v="2"/>
    <x v="2"/>
  </r>
  <r>
    <x v="259"/>
    <x v="14"/>
    <x v="1"/>
    <n v="11.3"/>
    <x v="249"/>
    <x v="11"/>
    <d v="2025-01-15T00:00:00"/>
    <s v="F"/>
    <x v="3"/>
    <x v="2"/>
    <x v="0"/>
    <x v="23"/>
    <x v="2"/>
    <x v="2"/>
    <x v="2"/>
  </r>
  <r>
    <x v="260"/>
    <x v="6"/>
    <x v="2"/>
    <n v="53.4"/>
    <x v="250"/>
    <x v="11"/>
    <d v="2025-01-15T00:00:00"/>
    <s v="M"/>
    <x v="3"/>
    <x v="2"/>
    <x v="0"/>
    <x v="36"/>
    <x v="2"/>
    <x v="2"/>
    <x v="1"/>
  </r>
  <r>
    <x v="261"/>
    <x v="6"/>
    <x v="5"/>
    <n v="51.1"/>
    <x v="251"/>
    <x v="11"/>
    <d v="2025-01-14T00:00:00"/>
    <s v="F"/>
    <x v="2"/>
    <x v="2"/>
    <x v="0"/>
    <x v="8"/>
    <x v="1"/>
    <x v="2"/>
    <x v="2"/>
  </r>
  <r>
    <x v="262"/>
    <x v="8"/>
    <x v="1"/>
    <n v="27.5"/>
    <x v="252"/>
    <x v="11"/>
    <d v="2025-01-13T00:00:00"/>
    <s v="M"/>
    <x v="4"/>
    <x v="1"/>
    <x v="0"/>
    <x v="8"/>
    <x v="3"/>
    <x v="2"/>
    <x v="1"/>
  </r>
  <r>
    <x v="263"/>
    <x v="9"/>
    <x v="0"/>
    <n v="33.5"/>
    <x v="253"/>
    <x v="11"/>
    <d v="2025-01-14T00:00:00"/>
    <s v="F"/>
    <x v="0"/>
    <x v="4"/>
    <x v="0"/>
    <x v="8"/>
    <x v="1"/>
    <x v="2"/>
    <x v="2"/>
  </r>
  <r>
    <x v="264"/>
    <x v="4"/>
    <x v="0"/>
    <n v="59.5"/>
    <x v="254"/>
    <x v="11"/>
    <d v="2025-01-12T00:00:00"/>
    <s v="M"/>
    <x v="0"/>
    <x v="2"/>
    <x v="0"/>
    <x v="18"/>
    <x v="7"/>
    <x v="2"/>
    <x v="1"/>
  </r>
  <r>
    <x v="265"/>
    <x v="17"/>
    <x v="12"/>
    <n v="23.5"/>
    <x v="255"/>
    <x v="11"/>
    <d v="2025-01-13T00:00:00"/>
    <s v="F"/>
    <x v="3"/>
    <x v="3"/>
    <x v="0"/>
    <x v="19"/>
    <x v="3"/>
    <x v="2"/>
    <x v="2"/>
  </r>
  <r>
    <x v="266"/>
    <x v="6"/>
    <x v="0"/>
    <n v="49.7"/>
    <x v="256"/>
    <x v="11"/>
    <d v="2025-01-13T00:00:00"/>
    <s v=""/>
    <x v="1"/>
    <x v="2"/>
    <x v="0"/>
    <x v="20"/>
    <x v="3"/>
    <x v="2"/>
    <x v="0"/>
  </r>
  <r>
    <x v="267"/>
    <x v="6"/>
    <x v="12"/>
    <n v="44.2"/>
    <x v="257"/>
    <x v="11"/>
    <d v="2025-01-15T00:00:00"/>
    <s v="F"/>
    <x v="0"/>
    <x v="2"/>
    <x v="0"/>
    <x v="21"/>
    <x v="2"/>
    <x v="2"/>
    <x v="2"/>
  </r>
  <r>
    <x v="268"/>
    <x v="8"/>
    <x v="0"/>
    <n v="22.1"/>
    <x v="258"/>
    <x v="11"/>
    <d v="2025-01-16T00:00:00"/>
    <s v="F"/>
    <x v="1"/>
    <x v="1"/>
    <x v="0"/>
    <x v="33"/>
    <x v="5"/>
    <x v="2"/>
    <x v="2"/>
  </r>
  <r>
    <x v="269"/>
    <x v="6"/>
    <x v="2"/>
    <n v="90.9"/>
    <x v="259"/>
    <x v="11"/>
    <d v="2025-01-13T00:00:00"/>
    <s v="F"/>
    <x v="2"/>
    <x v="4"/>
    <x v="0"/>
    <x v="3"/>
    <x v="3"/>
    <x v="2"/>
    <x v="2"/>
  </r>
  <r>
    <x v="270"/>
    <x v="8"/>
    <x v="2"/>
    <n v="44.5"/>
    <x v="260"/>
    <x v="11"/>
    <d v="2025-01-13T00:00:00"/>
    <s v="F"/>
    <x v="1"/>
    <x v="0"/>
    <x v="0"/>
    <x v="3"/>
    <x v="3"/>
    <x v="2"/>
    <x v="2"/>
  </r>
  <r>
    <x v="271"/>
    <x v="9"/>
    <x v="13"/>
    <n v="32.299999999999997"/>
    <x v="261"/>
    <x v="11"/>
    <d v="2025-01-16T00:00:00"/>
    <s v="F"/>
    <x v="0"/>
    <x v="0"/>
    <x v="0"/>
    <x v="3"/>
    <x v="5"/>
    <x v="2"/>
    <x v="2"/>
  </r>
  <r>
    <x v="272"/>
    <x v="17"/>
    <x v="2"/>
    <n v="87.5"/>
    <x v="175"/>
    <x v="11"/>
    <d v="2025-01-13T00:00:00"/>
    <s v="F"/>
    <x v="1"/>
    <x v="1"/>
    <x v="0"/>
    <x v="3"/>
    <x v="3"/>
    <x v="2"/>
    <x v="2"/>
  </r>
  <r>
    <x v="273"/>
    <x v="16"/>
    <x v="9"/>
    <n v="48.7"/>
    <x v="262"/>
    <x v="11"/>
    <d v="2025-01-13T00:00:00"/>
    <s v="M"/>
    <x v="2"/>
    <x v="0"/>
    <x v="0"/>
    <x v="3"/>
    <x v="3"/>
    <x v="2"/>
    <x v="1"/>
  </r>
  <r>
    <x v="274"/>
    <x v="0"/>
    <x v="9"/>
    <n v="22.5"/>
    <x v="158"/>
    <x v="11"/>
    <d v="2025-01-13T00:00:00"/>
    <s v="M"/>
    <x v="0"/>
    <x v="0"/>
    <x v="0"/>
    <x v="3"/>
    <x v="3"/>
    <x v="2"/>
    <x v="1"/>
  </r>
  <r>
    <x v="275"/>
    <x v="1"/>
    <x v="8"/>
    <n v="65.900000000000006"/>
    <x v="263"/>
    <x v="11"/>
    <d v="2025-01-15T00:00:00"/>
    <s v="F"/>
    <x v="1"/>
    <x v="2"/>
    <x v="0"/>
    <x v="3"/>
    <x v="2"/>
    <x v="2"/>
    <x v="2"/>
  </r>
  <r>
    <x v="276"/>
    <x v="6"/>
    <x v="9"/>
    <n v="41.9"/>
    <x v="264"/>
    <x v="11"/>
    <d v="2025-01-19T00:00:00"/>
    <s v=""/>
    <x v="0"/>
    <x v="0"/>
    <x v="0"/>
    <x v="3"/>
    <x v="6"/>
    <x v="2"/>
    <x v="0"/>
  </r>
  <r>
    <x v="277"/>
    <x v="1"/>
    <x v="9"/>
    <n v="67.5"/>
    <x v="265"/>
    <x v="11"/>
    <d v="2025-01-13T00:00:00"/>
    <s v="F"/>
    <x v="0"/>
    <x v="2"/>
    <x v="0"/>
    <x v="3"/>
    <x v="3"/>
    <x v="2"/>
    <x v="2"/>
  </r>
  <r>
    <x v="278"/>
    <x v="9"/>
    <x v="0"/>
    <n v="60.4"/>
    <x v="266"/>
    <x v="12"/>
    <d v="2025-01-15T00:00:00"/>
    <s v="F"/>
    <x v="1"/>
    <x v="1"/>
    <x v="0"/>
    <x v="3"/>
    <x v="1"/>
    <x v="2"/>
    <x v="2"/>
  </r>
  <r>
    <x v="279"/>
    <x v="1"/>
    <x v="3"/>
    <n v="30.4"/>
    <x v="267"/>
    <x v="12"/>
    <d v="2025-01-16T00:00:00"/>
    <s v="F"/>
    <x v="4"/>
    <x v="0"/>
    <x v="0"/>
    <x v="3"/>
    <x v="2"/>
    <x v="2"/>
    <x v="2"/>
  </r>
  <r>
    <x v="280"/>
    <x v="14"/>
    <x v="1"/>
    <n v="24.5"/>
    <x v="268"/>
    <x v="12"/>
    <d v="2025-01-14T00:00:00"/>
    <s v="M"/>
    <x v="3"/>
    <x v="2"/>
    <x v="0"/>
    <x v="3"/>
    <x v="3"/>
    <x v="2"/>
    <x v="1"/>
  </r>
  <r>
    <x v="281"/>
    <x v="2"/>
    <x v="2"/>
    <n v="105.9"/>
    <x v="269"/>
    <x v="12"/>
    <d v="2025-01-18T00:00:00"/>
    <s v="M"/>
    <x v="0"/>
    <x v="0"/>
    <x v="0"/>
    <x v="37"/>
    <x v="0"/>
    <x v="2"/>
    <x v="1"/>
  </r>
  <r>
    <x v="282"/>
    <x v="10"/>
    <x v="25"/>
    <n v="25.9"/>
    <x v="270"/>
    <x v="12"/>
    <d v="2025-01-14T00:00:00"/>
    <s v="F"/>
    <x v="4"/>
    <x v="0"/>
    <x v="0"/>
    <x v="23"/>
    <x v="3"/>
    <x v="2"/>
    <x v="2"/>
  </r>
  <r>
    <x v="283"/>
    <x v="6"/>
    <x v="2"/>
    <n v="66.8"/>
    <x v="271"/>
    <x v="12"/>
    <d v="2025-01-13T00:00:00"/>
    <s v="M"/>
    <x v="0"/>
    <x v="0"/>
    <x v="0"/>
    <x v="23"/>
    <x v="7"/>
    <x v="2"/>
    <x v="1"/>
  </r>
  <r>
    <x v="284"/>
    <x v="6"/>
    <x v="2"/>
    <n v="112.3"/>
    <x v="272"/>
    <x v="12"/>
    <d v="2025-01-14T00:00:00"/>
    <s v="M"/>
    <x v="2"/>
    <x v="4"/>
    <x v="0"/>
    <x v="6"/>
    <x v="3"/>
    <x v="2"/>
    <x v="1"/>
  </r>
  <r>
    <x v="285"/>
    <x v="1"/>
    <x v="13"/>
    <n v="94.1"/>
    <x v="273"/>
    <x v="12"/>
    <d v="2025-01-14T00:00:00"/>
    <s v="F"/>
    <x v="0"/>
    <x v="4"/>
    <x v="0"/>
    <x v="6"/>
    <x v="3"/>
    <x v="2"/>
    <x v="2"/>
  </r>
  <r>
    <x v="286"/>
    <x v="5"/>
    <x v="0"/>
    <n v="40.700000000000003"/>
    <x v="274"/>
    <x v="12"/>
    <d v="2025-01-16T00:00:00"/>
    <s v="F"/>
    <x v="2"/>
    <x v="0"/>
    <x v="0"/>
    <x v="6"/>
    <x v="2"/>
    <x v="2"/>
    <x v="2"/>
  </r>
  <r>
    <x v="287"/>
    <x v="3"/>
    <x v="1"/>
    <n v="71.400000000000006"/>
    <x v="275"/>
    <x v="12"/>
    <d v="2025-01-14T00:00:00"/>
    <s v="M"/>
    <x v="0"/>
    <x v="0"/>
    <x v="0"/>
    <x v="7"/>
    <x v="3"/>
    <x v="2"/>
    <x v="1"/>
  </r>
  <r>
    <x v="288"/>
    <x v="0"/>
    <x v="16"/>
    <n v="15.6"/>
    <x v="276"/>
    <x v="12"/>
    <d v="2025-01-14T00:00:00"/>
    <s v="M"/>
    <x v="1"/>
    <x v="3"/>
    <x v="0"/>
    <x v="8"/>
    <x v="3"/>
    <x v="2"/>
    <x v="1"/>
  </r>
  <r>
    <x v="289"/>
    <x v="10"/>
    <x v="12"/>
    <n v="37.799999999999997"/>
    <x v="277"/>
    <x v="12"/>
    <d v="2025-01-14T00:00:00"/>
    <s v="M"/>
    <x v="2"/>
    <x v="2"/>
    <x v="0"/>
    <x v="8"/>
    <x v="3"/>
    <x v="2"/>
    <x v="1"/>
  </r>
  <r>
    <x v="290"/>
    <x v="4"/>
    <x v="2"/>
    <n v="28.1"/>
    <x v="278"/>
    <x v="12"/>
    <d v="2025-01-17T00:00:00"/>
    <s v="M"/>
    <x v="0"/>
    <x v="0"/>
    <x v="0"/>
    <x v="8"/>
    <x v="5"/>
    <x v="2"/>
    <x v="1"/>
  </r>
  <r>
    <x v="291"/>
    <x v="7"/>
    <x v="13"/>
    <n v="51.4"/>
    <x v="279"/>
    <x v="12"/>
    <d v="2025-01-17T00:00:00"/>
    <s v="M"/>
    <x v="0"/>
    <x v="0"/>
    <x v="0"/>
    <x v="8"/>
    <x v="5"/>
    <x v="2"/>
    <x v="1"/>
  </r>
  <r>
    <x v="292"/>
    <x v="7"/>
    <x v="1"/>
    <n v="97.7"/>
    <x v="280"/>
    <x v="12"/>
    <d v="2025-01-15T00:00:00"/>
    <s v="F"/>
    <x v="4"/>
    <x v="2"/>
    <x v="0"/>
    <x v="17"/>
    <x v="1"/>
    <x v="2"/>
    <x v="2"/>
  </r>
  <r>
    <x v="293"/>
    <x v="1"/>
    <x v="12"/>
    <n v="63.8"/>
    <x v="281"/>
    <x v="12"/>
    <d v="2025-01-14T00:00:00"/>
    <s v="M"/>
    <x v="2"/>
    <x v="0"/>
    <x v="0"/>
    <x v="38"/>
    <x v="3"/>
    <x v="2"/>
    <x v="1"/>
  </r>
  <r>
    <x v="294"/>
    <x v="13"/>
    <x v="1"/>
    <n v="20.100000000000001"/>
    <x v="282"/>
    <x v="12"/>
    <d v="2025-01-15T00:00:00"/>
    <s v="M"/>
    <x v="0"/>
    <x v="2"/>
    <x v="0"/>
    <x v="20"/>
    <x v="1"/>
    <x v="2"/>
    <x v="1"/>
  </r>
  <r>
    <x v="295"/>
    <x v="11"/>
    <x v="2"/>
    <n v="50.4"/>
    <x v="277"/>
    <x v="12"/>
    <d v="2025-01-16T00:00:00"/>
    <s v="F"/>
    <x v="3"/>
    <x v="0"/>
    <x v="0"/>
    <x v="13"/>
    <x v="2"/>
    <x v="2"/>
    <x v="2"/>
  </r>
  <r>
    <x v="296"/>
    <x v="0"/>
    <x v="0"/>
    <n v="16.2"/>
    <x v="283"/>
    <x v="12"/>
    <d v="2025-01-26T00:00:00"/>
    <s v="F"/>
    <x v="1"/>
    <x v="0"/>
    <x v="0"/>
    <x v="1"/>
    <x v="10"/>
    <x v="2"/>
    <x v="2"/>
  </r>
  <r>
    <x v="297"/>
    <x v="6"/>
    <x v="3"/>
    <n v="80.900000000000006"/>
    <x v="284"/>
    <x v="12"/>
    <d v="2025-01-15T00:00:00"/>
    <s v="M"/>
    <x v="4"/>
    <x v="4"/>
    <x v="0"/>
    <x v="2"/>
    <x v="1"/>
    <x v="2"/>
    <x v="1"/>
  </r>
  <r>
    <x v="298"/>
    <x v="9"/>
    <x v="13"/>
    <n v="95.2"/>
    <x v="285"/>
    <x v="12"/>
    <d v="2025-01-15T00:00:00"/>
    <s v="F"/>
    <x v="0"/>
    <x v="2"/>
    <x v="0"/>
    <x v="2"/>
    <x v="1"/>
    <x v="2"/>
    <x v="2"/>
  </r>
  <r>
    <x v="299"/>
    <x v="5"/>
    <x v="8"/>
    <n v="70.400000000000006"/>
    <x v="286"/>
    <x v="12"/>
    <d v="2025-01-14T00:00:00"/>
    <s v="M"/>
    <x v="1"/>
    <x v="1"/>
    <x v="0"/>
    <x v="3"/>
    <x v="3"/>
    <x v="2"/>
    <x v="1"/>
  </r>
  <r>
    <x v="300"/>
    <x v="0"/>
    <x v="9"/>
    <n v="10.7"/>
    <x v="287"/>
    <x v="12"/>
    <d v="2025-01-17T00:00:00"/>
    <s v="F"/>
    <x v="2"/>
    <x v="0"/>
    <x v="0"/>
    <x v="3"/>
    <x v="5"/>
    <x v="2"/>
    <x v="2"/>
  </r>
  <r>
    <x v="301"/>
    <x v="8"/>
    <x v="9"/>
    <n v="19.600000000000001"/>
    <x v="11"/>
    <x v="12"/>
    <d v="2025-01-15T00:00:00"/>
    <s v="F"/>
    <x v="0"/>
    <x v="3"/>
    <x v="0"/>
    <x v="3"/>
    <x v="1"/>
    <x v="2"/>
    <x v="2"/>
  </r>
  <r>
    <x v="302"/>
    <x v="8"/>
    <x v="5"/>
    <n v="34.700000000000003"/>
    <x v="288"/>
    <x v="12"/>
    <d v="2025-01-15T00:00:00"/>
    <s v="F"/>
    <x v="0"/>
    <x v="2"/>
    <x v="0"/>
    <x v="3"/>
    <x v="1"/>
    <x v="2"/>
    <x v="2"/>
  </r>
  <r>
    <x v="303"/>
    <x v="10"/>
    <x v="11"/>
    <n v="34.1"/>
    <x v="289"/>
    <x v="12"/>
    <d v="2025-01-14T00:00:00"/>
    <s v="F"/>
    <x v="4"/>
    <x v="1"/>
    <x v="0"/>
    <x v="3"/>
    <x v="3"/>
    <x v="2"/>
    <x v="2"/>
  </r>
  <r>
    <x v="304"/>
    <x v="0"/>
    <x v="26"/>
    <n v="29.3"/>
    <x v="290"/>
    <x v="12"/>
    <d v="2025-01-13T00:00:00"/>
    <s v="M"/>
    <x v="0"/>
    <x v="1"/>
    <x v="0"/>
    <x v="3"/>
    <x v="7"/>
    <x v="2"/>
    <x v="1"/>
  </r>
  <r>
    <x v="305"/>
    <x v="1"/>
    <x v="0"/>
    <n v="55.2"/>
    <x v="291"/>
    <x v="12"/>
    <d v="2025-01-14T00:00:00"/>
    <s v="F"/>
    <x v="0"/>
    <x v="1"/>
    <x v="0"/>
    <x v="3"/>
    <x v="3"/>
    <x v="2"/>
    <x v="2"/>
  </r>
  <r>
    <x v="306"/>
    <x v="18"/>
    <x v="2"/>
    <n v="26"/>
    <x v="292"/>
    <x v="12"/>
    <d v="2025-01-16T00:00:00"/>
    <s v="F"/>
    <x v="0"/>
    <x v="2"/>
    <x v="0"/>
    <x v="3"/>
    <x v="2"/>
    <x v="2"/>
    <x v="2"/>
  </r>
  <r>
    <x v="307"/>
    <x v="14"/>
    <x v="1"/>
    <n v="14.2"/>
    <x v="293"/>
    <x v="12"/>
    <d v="2025-01-18T00:00:00"/>
    <s v="F"/>
    <x v="3"/>
    <x v="0"/>
    <x v="0"/>
    <x v="39"/>
    <x v="0"/>
    <x v="2"/>
    <x v="2"/>
  </r>
  <r>
    <x v="308"/>
    <x v="8"/>
    <x v="11"/>
    <n v="22.7"/>
    <x v="294"/>
    <x v="13"/>
    <d v="2025-01-15T00:00:00"/>
    <s v="M"/>
    <x v="1"/>
    <x v="0"/>
    <x v="0"/>
    <x v="6"/>
    <x v="3"/>
    <x v="2"/>
    <x v="1"/>
  </r>
  <r>
    <x v="309"/>
    <x v="0"/>
    <x v="20"/>
    <n v="19.8"/>
    <x v="295"/>
    <x v="13"/>
    <d v="2025-01-14T00:00:00"/>
    <s v="F"/>
    <x v="0"/>
    <x v="2"/>
    <x v="0"/>
    <x v="6"/>
    <x v="7"/>
    <x v="2"/>
    <x v="2"/>
  </r>
  <r>
    <x v="310"/>
    <x v="0"/>
    <x v="2"/>
    <n v="31.7"/>
    <x v="296"/>
    <x v="13"/>
    <d v="2025-01-15T00:00:00"/>
    <s v="M"/>
    <x v="2"/>
    <x v="0"/>
    <x v="0"/>
    <x v="6"/>
    <x v="3"/>
    <x v="2"/>
    <x v="1"/>
  </r>
  <r>
    <x v="311"/>
    <x v="8"/>
    <x v="12"/>
    <n v="30.4"/>
    <x v="297"/>
    <x v="13"/>
    <d v="2025-01-18T00:00:00"/>
    <s v="M"/>
    <x v="0"/>
    <x v="0"/>
    <x v="0"/>
    <x v="6"/>
    <x v="5"/>
    <x v="2"/>
    <x v="1"/>
  </r>
  <r>
    <x v="312"/>
    <x v="0"/>
    <x v="12"/>
    <n v="25.6"/>
    <x v="298"/>
    <x v="13"/>
    <d v="2025-01-15T00:00:00"/>
    <s v="M"/>
    <x v="3"/>
    <x v="0"/>
    <x v="0"/>
    <x v="8"/>
    <x v="3"/>
    <x v="2"/>
    <x v="1"/>
  </r>
  <r>
    <x v="313"/>
    <x v="5"/>
    <x v="1"/>
    <n v="34.9"/>
    <x v="299"/>
    <x v="13"/>
    <d v="2025-01-15T00:00:00"/>
    <s v="F"/>
    <x v="2"/>
    <x v="0"/>
    <x v="0"/>
    <x v="9"/>
    <x v="3"/>
    <x v="2"/>
    <x v="2"/>
  </r>
  <r>
    <x v="314"/>
    <x v="7"/>
    <x v="13"/>
    <n v="42.7"/>
    <x v="300"/>
    <x v="13"/>
    <d v="2025-01-17T00:00:00"/>
    <s v="M"/>
    <x v="2"/>
    <x v="1"/>
    <x v="0"/>
    <x v="11"/>
    <x v="2"/>
    <x v="2"/>
    <x v="1"/>
  </r>
  <r>
    <x v="315"/>
    <x v="8"/>
    <x v="0"/>
    <n v="23.9"/>
    <x v="301"/>
    <x v="13"/>
    <d v="2025-01-16T00:00:00"/>
    <s v="F"/>
    <x v="3"/>
    <x v="0"/>
    <x v="0"/>
    <x v="11"/>
    <x v="1"/>
    <x v="2"/>
    <x v="2"/>
  </r>
  <r>
    <x v="316"/>
    <x v="6"/>
    <x v="0"/>
    <n v="124.3"/>
    <x v="302"/>
    <x v="13"/>
    <d v="2025-01-15T00:00:00"/>
    <s v=""/>
    <x v="2"/>
    <x v="1"/>
    <x v="0"/>
    <x v="21"/>
    <x v="3"/>
    <x v="2"/>
    <x v="0"/>
  </r>
  <r>
    <x v="317"/>
    <x v="8"/>
    <x v="13"/>
    <n v="35.9"/>
    <x v="303"/>
    <x v="13"/>
    <d v="2025-01-15T00:00:00"/>
    <s v="F"/>
    <x v="0"/>
    <x v="1"/>
    <x v="0"/>
    <x v="1"/>
    <x v="3"/>
    <x v="2"/>
    <x v="2"/>
  </r>
  <r>
    <x v="318"/>
    <x v="2"/>
    <x v="1"/>
    <n v="69.099999999999994"/>
    <x v="304"/>
    <x v="13"/>
    <d v="2025-01-17T00:00:00"/>
    <s v="F"/>
    <x v="0"/>
    <x v="2"/>
    <x v="0"/>
    <x v="22"/>
    <x v="2"/>
    <x v="2"/>
    <x v="2"/>
  </r>
  <r>
    <x v="319"/>
    <x v="7"/>
    <x v="0"/>
    <n v="58.4"/>
    <x v="305"/>
    <x v="13"/>
    <d v="2025-01-18T00:00:00"/>
    <s v="M"/>
    <x v="0"/>
    <x v="0"/>
    <x v="0"/>
    <x v="22"/>
    <x v="5"/>
    <x v="2"/>
    <x v="1"/>
  </r>
  <r>
    <x v="320"/>
    <x v="5"/>
    <x v="0"/>
    <n v="65.2"/>
    <x v="221"/>
    <x v="13"/>
    <d v="2025-01-16T00:00:00"/>
    <s v="O"/>
    <x v="4"/>
    <x v="4"/>
    <x v="0"/>
    <x v="3"/>
    <x v="1"/>
    <x v="2"/>
    <x v="3"/>
  </r>
  <r>
    <x v="321"/>
    <x v="8"/>
    <x v="14"/>
    <n v="32.700000000000003"/>
    <x v="306"/>
    <x v="13"/>
    <d v="2025-01-21T00:00:00"/>
    <s v=""/>
    <x v="4"/>
    <x v="0"/>
    <x v="0"/>
    <x v="3"/>
    <x v="6"/>
    <x v="2"/>
    <x v="0"/>
  </r>
  <r>
    <x v="322"/>
    <x v="10"/>
    <x v="3"/>
    <n v="24.4"/>
    <x v="307"/>
    <x v="13"/>
    <d v="2025-01-15T00:00:00"/>
    <s v="F"/>
    <x v="0"/>
    <x v="0"/>
    <x v="0"/>
    <x v="3"/>
    <x v="3"/>
    <x v="2"/>
    <x v="2"/>
  </r>
  <r>
    <x v="323"/>
    <x v="14"/>
    <x v="1"/>
    <n v="50.4"/>
    <x v="90"/>
    <x v="13"/>
    <d v="2025-01-20T00:00:00"/>
    <s v="M"/>
    <x v="0"/>
    <x v="1"/>
    <x v="0"/>
    <x v="3"/>
    <x v="4"/>
    <x v="2"/>
    <x v="1"/>
  </r>
  <r>
    <x v="324"/>
    <x v="1"/>
    <x v="1"/>
    <n v="100"/>
    <x v="308"/>
    <x v="13"/>
    <d v="2025-01-15T00:00:00"/>
    <s v="F"/>
    <x v="0"/>
    <x v="0"/>
    <x v="0"/>
    <x v="3"/>
    <x v="3"/>
    <x v="2"/>
    <x v="2"/>
  </r>
  <r>
    <x v="325"/>
    <x v="10"/>
    <x v="2"/>
    <n v="43"/>
    <x v="309"/>
    <x v="14"/>
    <d v="2025-01-15T00:00:00"/>
    <s v="F"/>
    <x v="2"/>
    <x v="1"/>
    <x v="0"/>
    <x v="3"/>
    <x v="7"/>
    <x v="2"/>
    <x v="2"/>
  </r>
  <r>
    <x v="326"/>
    <x v="1"/>
    <x v="9"/>
    <n v="64.400000000000006"/>
    <x v="310"/>
    <x v="14"/>
    <d v="2025-01-17T00:00:00"/>
    <s v="M"/>
    <x v="2"/>
    <x v="1"/>
    <x v="0"/>
    <x v="3"/>
    <x v="1"/>
    <x v="2"/>
    <x v="1"/>
  </r>
  <r>
    <x v="327"/>
    <x v="18"/>
    <x v="1"/>
    <n v="57.4"/>
    <x v="311"/>
    <x v="14"/>
    <d v="2025-01-16T00:00:00"/>
    <s v="M"/>
    <x v="2"/>
    <x v="1"/>
    <x v="0"/>
    <x v="3"/>
    <x v="3"/>
    <x v="2"/>
    <x v="1"/>
  </r>
  <r>
    <x v="328"/>
    <x v="2"/>
    <x v="2"/>
    <n v="55.1"/>
    <x v="312"/>
    <x v="14"/>
    <d v="2025-01-18T00:00:00"/>
    <s v="F"/>
    <x v="1"/>
    <x v="0"/>
    <x v="0"/>
    <x v="3"/>
    <x v="2"/>
    <x v="2"/>
    <x v="2"/>
  </r>
  <r>
    <x v="329"/>
    <x v="7"/>
    <x v="12"/>
    <n v="45.4"/>
    <x v="106"/>
    <x v="14"/>
    <d v="2025-01-16T00:00:00"/>
    <s v="F"/>
    <x v="1"/>
    <x v="0"/>
    <x v="0"/>
    <x v="3"/>
    <x v="3"/>
    <x v="2"/>
    <x v="2"/>
  </r>
  <r>
    <x v="330"/>
    <x v="3"/>
    <x v="2"/>
    <n v="93.3"/>
    <x v="313"/>
    <x v="14"/>
    <d v="2025-01-16T00:00:00"/>
    <s v="F"/>
    <x v="0"/>
    <x v="0"/>
    <x v="0"/>
    <x v="40"/>
    <x v="3"/>
    <x v="2"/>
    <x v="2"/>
  </r>
  <r>
    <x v="331"/>
    <x v="2"/>
    <x v="10"/>
    <n v="158.19999999999999"/>
    <x v="314"/>
    <x v="14"/>
    <d v="2025-01-16T00:00:00"/>
    <s v="F"/>
    <x v="1"/>
    <x v="2"/>
    <x v="0"/>
    <x v="16"/>
    <x v="3"/>
    <x v="2"/>
    <x v="2"/>
  </r>
  <r>
    <x v="332"/>
    <x v="2"/>
    <x v="1"/>
    <n v="74.900000000000006"/>
    <x v="315"/>
    <x v="14"/>
    <d v="2025-01-17T00:00:00"/>
    <s v="M"/>
    <x v="3"/>
    <x v="0"/>
    <x v="0"/>
    <x v="6"/>
    <x v="1"/>
    <x v="2"/>
    <x v="1"/>
  </r>
  <r>
    <x v="333"/>
    <x v="8"/>
    <x v="3"/>
    <n v="26"/>
    <x v="316"/>
    <x v="14"/>
    <d v="2025-01-18T00:00:00"/>
    <s v="F"/>
    <x v="1"/>
    <x v="0"/>
    <x v="0"/>
    <x v="8"/>
    <x v="2"/>
    <x v="2"/>
    <x v="2"/>
  </r>
  <r>
    <x v="334"/>
    <x v="9"/>
    <x v="13"/>
    <n v="37.5"/>
    <x v="317"/>
    <x v="14"/>
    <d v="2025-01-16T00:00:00"/>
    <s v="F"/>
    <x v="0"/>
    <x v="1"/>
    <x v="0"/>
    <x v="8"/>
    <x v="3"/>
    <x v="2"/>
    <x v="2"/>
  </r>
  <r>
    <x v="335"/>
    <x v="6"/>
    <x v="1"/>
    <n v="75.8"/>
    <x v="318"/>
    <x v="14"/>
    <d v="2025-01-21T00:00:00"/>
    <s v="M"/>
    <x v="0"/>
    <x v="0"/>
    <x v="0"/>
    <x v="8"/>
    <x v="4"/>
    <x v="2"/>
    <x v="1"/>
  </r>
  <r>
    <x v="336"/>
    <x v="7"/>
    <x v="0"/>
    <n v="48.5"/>
    <x v="319"/>
    <x v="14"/>
    <d v="2025-01-27T00:00:00"/>
    <s v=""/>
    <x v="4"/>
    <x v="2"/>
    <x v="0"/>
    <x v="8"/>
    <x v="13"/>
    <x v="2"/>
    <x v="0"/>
  </r>
  <r>
    <x v="337"/>
    <x v="6"/>
    <x v="2"/>
    <n v="98.9"/>
    <x v="320"/>
    <x v="14"/>
    <d v="2025-01-17T00:00:00"/>
    <s v="F"/>
    <x v="4"/>
    <x v="1"/>
    <x v="0"/>
    <x v="8"/>
    <x v="1"/>
    <x v="2"/>
    <x v="2"/>
  </r>
  <r>
    <x v="338"/>
    <x v="1"/>
    <x v="4"/>
    <n v="50.9"/>
    <x v="321"/>
    <x v="14"/>
    <d v="2025-01-15T00:00:00"/>
    <s v="M"/>
    <x v="4"/>
    <x v="0"/>
    <x v="0"/>
    <x v="8"/>
    <x v="7"/>
    <x v="2"/>
    <x v="1"/>
  </r>
  <r>
    <x v="339"/>
    <x v="12"/>
    <x v="13"/>
    <n v="84.7"/>
    <x v="322"/>
    <x v="14"/>
    <d v="2025-01-15T00:00:00"/>
    <s v="F"/>
    <x v="2"/>
    <x v="0"/>
    <x v="0"/>
    <x v="8"/>
    <x v="7"/>
    <x v="2"/>
    <x v="2"/>
  </r>
  <r>
    <x v="340"/>
    <x v="8"/>
    <x v="0"/>
    <n v="20.7"/>
    <x v="323"/>
    <x v="14"/>
    <d v="2025-01-17T00:00:00"/>
    <s v="F"/>
    <x v="3"/>
    <x v="2"/>
    <x v="0"/>
    <x v="8"/>
    <x v="1"/>
    <x v="2"/>
    <x v="2"/>
  </r>
  <r>
    <x v="341"/>
    <x v="12"/>
    <x v="11"/>
    <n v="57.8"/>
    <x v="324"/>
    <x v="14"/>
    <d v="2025-01-26T00:00:00"/>
    <s v="M"/>
    <x v="0"/>
    <x v="4"/>
    <x v="0"/>
    <x v="17"/>
    <x v="11"/>
    <x v="2"/>
    <x v="1"/>
  </r>
  <r>
    <x v="342"/>
    <x v="2"/>
    <x v="1"/>
    <n v="106.9"/>
    <x v="325"/>
    <x v="14"/>
    <d v="2025-01-17T00:00:00"/>
    <s v="F"/>
    <x v="0"/>
    <x v="2"/>
    <x v="0"/>
    <x v="41"/>
    <x v="1"/>
    <x v="2"/>
    <x v="2"/>
  </r>
  <r>
    <x v="343"/>
    <x v="3"/>
    <x v="9"/>
    <n v="45.2"/>
    <x v="326"/>
    <x v="14"/>
    <d v="2025-01-19T00:00:00"/>
    <s v="F"/>
    <x v="1"/>
    <x v="0"/>
    <x v="0"/>
    <x v="21"/>
    <x v="5"/>
    <x v="2"/>
    <x v="2"/>
  </r>
  <r>
    <x v="344"/>
    <x v="8"/>
    <x v="15"/>
    <n v="34.6"/>
    <x v="327"/>
    <x v="14"/>
    <d v="2025-01-15T00:00:00"/>
    <s v="F"/>
    <x v="1"/>
    <x v="1"/>
    <x v="0"/>
    <x v="21"/>
    <x v="7"/>
    <x v="2"/>
    <x v="2"/>
  </r>
  <r>
    <x v="345"/>
    <x v="15"/>
    <x v="0"/>
    <n v="43.8"/>
    <x v="328"/>
    <x v="14"/>
    <d v="2025-01-17T00:00:00"/>
    <s v=""/>
    <x v="0"/>
    <x v="2"/>
    <x v="0"/>
    <x v="21"/>
    <x v="1"/>
    <x v="2"/>
    <x v="0"/>
  </r>
  <r>
    <x v="346"/>
    <x v="15"/>
    <x v="0"/>
    <n v="20.399999999999999"/>
    <x v="190"/>
    <x v="14"/>
    <d v="2025-01-17T00:00:00"/>
    <s v="M"/>
    <x v="4"/>
    <x v="1"/>
    <x v="0"/>
    <x v="21"/>
    <x v="1"/>
    <x v="2"/>
    <x v="1"/>
  </r>
  <r>
    <x v="347"/>
    <x v="1"/>
    <x v="0"/>
    <n v="36.700000000000003"/>
    <x v="329"/>
    <x v="14"/>
    <d v="2025-01-16T00:00:00"/>
    <s v="M"/>
    <x v="0"/>
    <x v="1"/>
    <x v="0"/>
    <x v="1"/>
    <x v="3"/>
    <x v="2"/>
    <x v="1"/>
  </r>
  <r>
    <x v="348"/>
    <x v="8"/>
    <x v="2"/>
    <n v="27.2"/>
    <x v="330"/>
    <x v="14"/>
    <d v="2025-01-19T00:00:00"/>
    <s v="M"/>
    <x v="0"/>
    <x v="2"/>
    <x v="0"/>
    <x v="1"/>
    <x v="5"/>
    <x v="2"/>
    <x v="1"/>
  </r>
  <r>
    <x v="349"/>
    <x v="6"/>
    <x v="0"/>
    <n v="58.2"/>
    <x v="331"/>
    <x v="14"/>
    <d v="2025-01-16T00:00:00"/>
    <s v="F"/>
    <x v="0"/>
    <x v="2"/>
    <x v="0"/>
    <x v="42"/>
    <x v="3"/>
    <x v="2"/>
    <x v="2"/>
  </r>
  <r>
    <x v="350"/>
    <x v="8"/>
    <x v="2"/>
    <n v="25.6"/>
    <x v="332"/>
    <x v="14"/>
    <d v="2025-01-16T00:00:00"/>
    <s v="M"/>
    <x v="4"/>
    <x v="4"/>
    <x v="0"/>
    <x v="2"/>
    <x v="3"/>
    <x v="2"/>
    <x v="1"/>
  </r>
  <r>
    <x v="351"/>
    <x v="10"/>
    <x v="0"/>
    <n v="21.2"/>
    <x v="333"/>
    <x v="14"/>
    <d v="2025-01-15T00:00:00"/>
    <s v="F"/>
    <x v="1"/>
    <x v="2"/>
    <x v="0"/>
    <x v="3"/>
    <x v="7"/>
    <x v="2"/>
    <x v="2"/>
  </r>
  <r>
    <x v="352"/>
    <x v="6"/>
    <x v="1"/>
    <n v="48.2"/>
    <x v="334"/>
    <x v="14"/>
    <d v="2025-01-23T00:00:00"/>
    <s v="F"/>
    <x v="0"/>
    <x v="2"/>
    <x v="0"/>
    <x v="3"/>
    <x v="9"/>
    <x v="2"/>
    <x v="2"/>
  </r>
  <r>
    <x v="353"/>
    <x v="1"/>
    <x v="12"/>
    <n v="83.4"/>
    <x v="335"/>
    <x v="15"/>
    <d v="2025-01-17T00:00:00"/>
    <s v="M"/>
    <x v="0"/>
    <x v="0"/>
    <x v="0"/>
    <x v="3"/>
    <x v="3"/>
    <x v="2"/>
    <x v="1"/>
  </r>
  <r>
    <x v="354"/>
    <x v="9"/>
    <x v="2"/>
    <n v="45.3"/>
    <x v="336"/>
    <x v="15"/>
    <d v="2025-01-22T00:00:00"/>
    <s v="M"/>
    <x v="2"/>
    <x v="1"/>
    <x v="0"/>
    <x v="3"/>
    <x v="4"/>
    <x v="2"/>
    <x v="1"/>
  </r>
  <r>
    <x v="355"/>
    <x v="17"/>
    <x v="0"/>
    <n v="42"/>
    <x v="337"/>
    <x v="15"/>
    <d v="2025-01-17T00:00:00"/>
    <s v=""/>
    <x v="0"/>
    <x v="0"/>
    <x v="0"/>
    <x v="3"/>
    <x v="3"/>
    <x v="2"/>
    <x v="0"/>
  </r>
  <r>
    <x v="356"/>
    <x v="0"/>
    <x v="11"/>
    <n v="21.8"/>
    <x v="338"/>
    <x v="15"/>
    <d v="2025-01-18T00:00:00"/>
    <s v="F"/>
    <x v="1"/>
    <x v="0"/>
    <x v="0"/>
    <x v="3"/>
    <x v="1"/>
    <x v="2"/>
    <x v="2"/>
  </r>
  <r>
    <x v="357"/>
    <x v="8"/>
    <x v="16"/>
    <n v="21.4"/>
    <x v="339"/>
    <x v="15"/>
    <d v="2025-01-19T00:00:00"/>
    <s v="F"/>
    <x v="1"/>
    <x v="2"/>
    <x v="0"/>
    <x v="3"/>
    <x v="2"/>
    <x v="2"/>
    <x v="2"/>
  </r>
  <r>
    <x v="358"/>
    <x v="10"/>
    <x v="2"/>
    <n v="45"/>
    <x v="340"/>
    <x v="15"/>
    <d v="2025-01-16T00:00:00"/>
    <s v="F"/>
    <x v="1"/>
    <x v="2"/>
    <x v="0"/>
    <x v="3"/>
    <x v="7"/>
    <x v="2"/>
    <x v="2"/>
  </r>
  <r>
    <x v="359"/>
    <x v="14"/>
    <x v="0"/>
    <n v="39.6"/>
    <x v="341"/>
    <x v="15"/>
    <d v="2025-01-17T00:00:00"/>
    <s v="M"/>
    <x v="0"/>
    <x v="2"/>
    <x v="0"/>
    <x v="3"/>
    <x v="3"/>
    <x v="2"/>
    <x v="1"/>
  </r>
  <r>
    <x v="360"/>
    <x v="12"/>
    <x v="2"/>
    <n v="79.8"/>
    <x v="342"/>
    <x v="15"/>
    <d v="2025-01-22T00:00:00"/>
    <s v="F"/>
    <x v="1"/>
    <x v="4"/>
    <x v="0"/>
    <x v="3"/>
    <x v="4"/>
    <x v="2"/>
    <x v="2"/>
  </r>
  <r>
    <x v="361"/>
    <x v="1"/>
    <x v="12"/>
    <n v="63.6"/>
    <x v="343"/>
    <x v="15"/>
    <d v="2025-01-17T00:00:00"/>
    <s v="O"/>
    <x v="0"/>
    <x v="2"/>
    <x v="0"/>
    <x v="24"/>
    <x v="3"/>
    <x v="2"/>
    <x v="3"/>
  </r>
  <r>
    <x v="362"/>
    <x v="7"/>
    <x v="7"/>
    <n v="92.7"/>
    <x v="344"/>
    <x v="15"/>
    <d v="2025-01-20T00:00:00"/>
    <s v="M"/>
    <x v="1"/>
    <x v="2"/>
    <x v="0"/>
    <x v="6"/>
    <x v="5"/>
    <x v="2"/>
    <x v="1"/>
  </r>
  <r>
    <x v="363"/>
    <x v="1"/>
    <x v="12"/>
    <n v="48.4"/>
    <x v="345"/>
    <x v="15"/>
    <d v="2025-01-18T00:00:00"/>
    <s v="F"/>
    <x v="1"/>
    <x v="2"/>
    <x v="0"/>
    <x v="6"/>
    <x v="1"/>
    <x v="2"/>
    <x v="2"/>
  </r>
  <r>
    <x v="364"/>
    <x v="9"/>
    <x v="8"/>
    <n v="36"/>
    <x v="346"/>
    <x v="15"/>
    <d v="2025-01-19T00:00:00"/>
    <s v="M"/>
    <x v="2"/>
    <x v="2"/>
    <x v="0"/>
    <x v="8"/>
    <x v="2"/>
    <x v="2"/>
    <x v="1"/>
  </r>
  <r>
    <x v="365"/>
    <x v="8"/>
    <x v="4"/>
    <n v="27"/>
    <x v="347"/>
    <x v="15"/>
    <d v="2025-01-18T00:00:00"/>
    <s v="F"/>
    <x v="2"/>
    <x v="1"/>
    <x v="0"/>
    <x v="8"/>
    <x v="1"/>
    <x v="2"/>
    <x v="2"/>
  </r>
  <r>
    <x v="366"/>
    <x v="2"/>
    <x v="8"/>
    <n v="53.9"/>
    <x v="348"/>
    <x v="15"/>
    <d v="2025-01-17T00:00:00"/>
    <s v=""/>
    <x v="0"/>
    <x v="0"/>
    <x v="0"/>
    <x v="8"/>
    <x v="3"/>
    <x v="2"/>
    <x v="0"/>
  </r>
  <r>
    <x v="367"/>
    <x v="3"/>
    <x v="11"/>
    <n v="48.4"/>
    <x v="349"/>
    <x v="15"/>
    <d v="2025-01-17T00:00:00"/>
    <s v="F"/>
    <x v="1"/>
    <x v="0"/>
    <x v="0"/>
    <x v="9"/>
    <x v="3"/>
    <x v="2"/>
    <x v="2"/>
  </r>
  <r>
    <x v="368"/>
    <x v="17"/>
    <x v="1"/>
    <n v="49.9"/>
    <x v="350"/>
    <x v="15"/>
    <d v="2025-01-21T00:00:00"/>
    <s v="M"/>
    <x v="4"/>
    <x v="4"/>
    <x v="0"/>
    <x v="10"/>
    <x v="0"/>
    <x v="2"/>
    <x v="1"/>
  </r>
  <r>
    <x v="369"/>
    <x v="1"/>
    <x v="2"/>
    <n v="51.7"/>
    <x v="351"/>
    <x v="15"/>
    <d v="2025-01-17T00:00:00"/>
    <s v="F"/>
    <x v="0"/>
    <x v="2"/>
    <x v="0"/>
    <x v="11"/>
    <x v="3"/>
    <x v="2"/>
    <x v="2"/>
  </r>
  <r>
    <x v="370"/>
    <x v="8"/>
    <x v="2"/>
    <n v="41.8"/>
    <x v="352"/>
    <x v="15"/>
    <d v="2025-01-18T00:00:00"/>
    <s v="F"/>
    <x v="2"/>
    <x v="0"/>
    <x v="0"/>
    <x v="18"/>
    <x v="1"/>
    <x v="2"/>
    <x v="2"/>
  </r>
  <r>
    <x v="371"/>
    <x v="4"/>
    <x v="12"/>
    <n v="36.200000000000003"/>
    <x v="353"/>
    <x v="16"/>
    <d v="2025-01-18T00:00:00"/>
    <s v="M"/>
    <x v="2"/>
    <x v="2"/>
    <x v="0"/>
    <x v="21"/>
    <x v="3"/>
    <x v="2"/>
    <x v="1"/>
  </r>
  <r>
    <x v="372"/>
    <x v="2"/>
    <x v="0"/>
    <n v="150.9"/>
    <x v="354"/>
    <x v="16"/>
    <d v="2025-01-27T00:00:00"/>
    <s v="M"/>
    <x v="0"/>
    <x v="0"/>
    <x v="0"/>
    <x v="1"/>
    <x v="14"/>
    <x v="2"/>
    <x v="1"/>
  </r>
  <r>
    <x v="373"/>
    <x v="18"/>
    <x v="12"/>
    <n v="77.599999999999994"/>
    <x v="355"/>
    <x v="16"/>
    <d v="2025-01-18T00:00:00"/>
    <s v=""/>
    <x v="2"/>
    <x v="0"/>
    <x v="0"/>
    <x v="3"/>
    <x v="3"/>
    <x v="2"/>
    <x v="0"/>
  </r>
  <r>
    <x v="374"/>
    <x v="13"/>
    <x v="9"/>
    <n v="65.5"/>
    <x v="356"/>
    <x v="16"/>
    <d v="2025-01-17T00:00:00"/>
    <s v="M"/>
    <x v="1"/>
    <x v="0"/>
    <x v="0"/>
    <x v="3"/>
    <x v="7"/>
    <x v="2"/>
    <x v="1"/>
  </r>
  <r>
    <x v="375"/>
    <x v="6"/>
    <x v="2"/>
    <n v="90.1"/>
    <x v="357"/>
    <x v="16"/>
    <d v="2025-01-19T00:00:00"/>
    <s v="F"/>
    <x v="0"/>
    <x v="0"/>
    <x v="0"/>
    <x v="3"/>
    <x v="1"/>
    <x v="2"/>
    <x v="2"/>
  </r>
  <r>
    <x v="376"/>
    <x v="1"/>
    <x v="1"/>
    <n v="108.3"/>
    <x v="358"/>
    <x v="16"/>
    <d v="2025-01-20T00:00:00"/>
    <s v="O"/>
    <x v="4"/>
    <x v="0"/>
    <x v="0"/>
    <x v="3"/>
    <x v="2"/>
    <x v="2"/>
    <x v="3"/>
  </r>
  <r>
    <x v="377"/>
    <x v="5"/>
    <x v="2"/>
    <n v="59.9"/>
    <x v="359"/>
    <x v="16"/>
    <d v="2025-01-21T00:00:00"/>
    <s v="F"/>
    <x v="0"/>
    <x v="0"/>
    <x v="0"/>
    <x v="3"/>
    <x v="5"/>
    <x v="2"/>
    <x v="2"/>
  </r>
  <r>
    <x v="378"/>
    <x v="2"/>
    <x v="14"/>
    <n v="139"/>
    <x v="360"/>
    <x v="16"/>
    <d v="2025-01-19T00:00:00"/>
    <s v="F"/>
    <x v="1"/>
    <x v="4"/>
    <x v="0"/>
    <x v="3"/>
    <x v="1"/>
    <x v="2"/>
    <x v="2"/>
  </r>
  <r>
    <x v="379"/>
    <x v="6"/>
    <x v="2"/>
    <n v="87.3"/>
    <x v="361"/>
    <x v="16"/>
    <d v="2025-01-18T00:00:00"/>
    <s v="F"/>
    <x v="0"/>
    <x v="0"/>
    <x v="0"/>
    <x v="3"/>
    <x v="3"/>
    <x v="2"/>
    <x v="2"/>
  </r>
  <r>
    <x v="380"/>
    <x v="11"/>
    <x v="12"/>
    <n v="42.3"/>
    <x v="362"/>
    <x v="16"/>
    <d v="2025-01-17T00:00:00"/>
    <s v="M"/>
    <x v="0"/>
    <x v="0"/>
    <x v="0"/>
    <x v="3"/>
    <x v="7"/>
    <x v="2"/>
    <x v="1"/>
  </r>
  <r>
    <x v="381"/>
    <x v="14"/>
    <x v="8"/>
    <n v="103.6"/>
    <x v="363"/>
    <x v="16"/>
    <d v="2025-01-18T00:00:00"/>
    <s v="O"/>
    <x v="0"/>
    <x v="1"/>
    <x v="0"/>
    <x v="3"/>
    <x v="3"/>
    <x v="2"/>
    <x v="3"/>
  </r>
  <r>
    <x v="382"/>
    <x v="6"/>
    <x v="1"/>
    <n v="90.9"/>
    <x v="364"/>
    <x v="16"/>
    <d v="2025-01-18T00:00:00"/>
    <s v="M"/>
    <x v="1"/>
    <x v="0"/>
    <x v="0"/>
    <x v="6"/>
    <x v="3"/>
    <x v="2"/>
    <x v="1"/>
  </r>
  <r>
    <x v="383"/>
    <x v="9"/>
    <x v="27"/>
    <n v="100.9"/>
    <x v="365"/>
    <x v="16"/>
    <d v="2025-01-18T00:00:00"/>
    <s v="F"/>
    <x v="1"/>
    <x v="0"/>
    <x v="0"/>
    <x v="6"/>
    <x v="3"/>
    <x v="2"/>
    <x v="2"/>
  </r>
  <r>
    <x v="384"/>
    <x v="4"/>
    <x v="9"/>
    <n v="36"/>
    <x v="366"/>
    <x v="16"/>
    <d v="2025-01-19T00:00:00"/>
    <s v="F"/>
    <x v="1"/>
    <x v="0"/>
    <x v="0"/>
    <x v="7"/>
    <x v="1"/>
    <x v="2"/>
    <x v="2"/>
  </r>
  <r>
    <x v="385"/>
    <x v="6"/>
    <x v="13"/>
    <n v="83.3"/>
    <x v="367"/>
    <x v="16"/>
    <d v="2025-01-20T00:00:00"/>
    <s v=""/>
    <x v="2"/>
    <x v="0"/>
    <x v="0"/>
    <x v="7"/>
    <x v="2"/>
    <x v="2"/>
    <x v="0"/>
  </r>
  <r>
    <x v="386"/>
    <x v="2"/>
    <x v="14"/>
    <n v="60.3"/>
    <x v="368"/>
    <x v="16"/>
    <d v="2025-01-18T00:00:00"/>
    <s v="M"/>
    <x v="2"/>
    <x v="1"/>
    <x v="0"/>
    <x v="7"/>
    <x v="3"/>
    <x v="2"/>
    <x v="1"/>
  </r>
  <r>
    <x v="387"/>
    <x v="2"/>
    <x v="13"/>
    <n v="120.3"/>
    <x v="369"/>
    <x v="16"/>
    <d v="2025-01-18T00:00:00"/>
    <s v="M"/>
    <x v="2"/>
    <x v="0"/>
    <x v="0"/>
    <x v="8"/>
    <x v="3"/>
    <x v="2"/>
    <x v="1"/>
  </r>
  <r>
    <x v="388"/>
    <x v="4"/>
    <x v="7"/>
    <n v="34"/>
    <x v="370"/>
    <x v="16"/>
    <d v="2025-01-21T00:00:00"/>
    <s v="F"/>
    <x v="2"/>
    <x v="0"/>
    <x v="0"/>
    <x v="8"/>
    <x v="5"/>
    <x v="2"/>
    <x v="2"/>
  </r>
  <r>
    <x v="389"/>
    <x v="10"/>
    <x v="9"/>
    <n v="42.6"/>
    <x v="226"/>
    <x v="16"/>
    <d v="2025-01-20T00:00:00"/>
    <s v="M"/>
    <x v="1"/>
    <x v="0"/>
    <x v="0"/>
    <x v="8"/>
    <x v="2"/>
    <x v="2"/>
    <x v="1"/>
  </r>
  <r>
    <x v="390"/>
    <x v="5"/>
    <x v="28"/>
    <n v="47.4"/>
    <x v="371"/>
    <x v="16"/>
    <d v="2025-01-17T00:00:00"/>
    <s v="F"/>
    <x v="2"/>
    <x v="1"/>
    <x v="0"/>
    <x v="17"/>
    <x v="7"/>
    <x v="2"/>
    <x v="2"/>
  </r>
  <r>
    <x v="391"/>
    <x v="2"/>
    <x v="0"/>
    <n v="74"/>
    <x v="372"/>
    <x v="17"/>
    <d v="2025-01-19T00:00:00"/>
    <s v="M"/>
    <x v="1"/>
    <x v="0"/>
    <x v="0"/>
    <x v="11"/>
    <x v="3"/>
    <x v="2"/>
    <x v="1"/>
  </r>
  <r>
    <x v="392"/>
    <x v="2"/>
    <x v="9"/>
    <n v="60.4"/>
    <x v="373"/>
    <x v="17"/>
    <d v="2025-01-21T00:00:00"/>
    <s v="F"/>
    <x v="1"/>
    <x v="4"/>
    <x v="0"/>
    <x v="18"/>
    <x v="2"/>
    <x v="2"/>
    <x v="2"/>
  </r>
  <r>
    <x v="393"/>
    <x v="12"/>
    <x v="1"/>
    <n v="69.3"/>
    <x v="374"/>
    <x v="17"/>
    <d v="2025-01-21T00:00:00"/>
    <s v="M"/>
    <x v="1"/>
    <x v="1"/>
    <x v="0"/>
    <x v="13"/>
    <x v="2"/>
    <x v="2"/>
    <x v="1"/>
  </r>
  <r>
    <x v="394"/>
    <x v="5"/>
    <x v="9"/>
    <n v="81"/>
    <x v="375"/>
    <x v="17"/>
    <d v="2025-01-24T00:00:00"/>
    <s v="M"/>
    <x v="3"/>
    <x v="0"/>
    <x v="0"/>
    <x v="21"/>
    <x v="4"/>
    <x v="2"/>
    <x v="1"/>
  </r>
  <r>
    <x v="395"/>
    <x v="15"/>
    <x v="2"/>
    <n v="41.5"/>
    <x v="376"/>
    <x v="17"/>
    <d v="2025-01-20T00:00:00"/>
    <s v="O"/>
    <x v="1"/>
    <x v="0"/>
    <x v="0"/>
    <x v="21"/>
    <x v="1"/>
    <x v="2"/>
    <x v="3"/>
  </r>
  <r>
    <x v="396"/>
    <x v="18"/>
    <x v="1"/>
    <n v="69.7"/>
    <x v="377"/>
    <x v="17"/>
    <d v="2025-01-23T00:00:00"/>
    <s v="M"/>
    <x v="1"/>
    <x v="0"/>
    <x v="0"/>
    <x v="21"/>
    <x v="0"/>
    <x v="2"/>
    <x v="1"/>
  </r>
  <r>
    <x v="397"/>
    <x v="2"/>
    <x v="9"/>
    <n v="83.6"/>
    <x v="378"/>
    <x v="17"/>
    <d v="2025-01-18T00:00:00"/>
    <s v="F"/>
    <x v="4"/>
    <x v="0"/>
    <x v="0"/>
    <x v="1"/>
    <x v="7"/>
    <x v="2"/>
    <x v="2"/>
  </r>
  <r>
    <x v="398"/>
    <x v="8"/>
    <x v="3"/>
    <n v="21.5"/>
    <x v="379"/>
    <x v="17"/>
    <d v="2025-01-20T00:00:00"/>
    <s v="M"/>
    <x v="1"/>
    <x v="4"/>
    <x v="0"/>
    <x v="34"/>
    <x v="1"/>
    <x v="2"/>
    <x v="1"/>
  </r>
  <r>
    <x v="399"/>
    <x v="8"/>
    <x v="8"/>
    <n v="28.6"/>
    <x v="27"/>
    <x v="17"/>
    <d v="2025-01-19T00:00:00"/>
    <s v="M"/>
    <x v="0"/>
    <x v="0"/>
    <x v="0"/>
    <x v="3"/>
    <x v="3"/>
    <x v="2"/>
    <x v="1"/>
  </r>
  <r>
    <x v="400"/>
    <x v="8"/>
    <x v="13"/>
    <n v="18.8"/>
    <x v="380"/>
    <x v="17"/>
    <d v="2025-01-21T00:00:00"/>
    <s v="M"/>
    <x v="3"/>
    <x v="2"/>
    <x v="0"/>
    <x v="3"/>
    <x v="2"/>
    <x v="2"/>
    <x v="1"/>
  </r>
  <r>
    <x v="401"/>
    <x v="10"/>
    <x v="12"/>
    <n v="35.1"/>
    <x v="381"/>
    <x v="17"/>
    <d v="2025-01-18T00:00:00"/>
    <s v="F"/>
    <x v="1"/>
    <x v="1"/>
    <x v="0"/>
    <x v="3"/>
    <x v="7"/>
    <x v="2"/>
    <x v="2"/>
  </r>
  <r>
    <x v="402"/>
    <x v="0"/>
    <x v="1"/>
    <n v="12.7"/>
    <x v="382"/>
    <x v="17"/>
    <d v="2025-01-20T00:00:00"/>
    <s v="F"/>
    <x v="1"/>
    <x v="2"/>
    <x v="0"/>
    <x v="3"/>
    <x v="1"/>
    <x v="2"/>
    <x v="2"/>
  </r>
  <r>
    <x v="403"/>
    <x v="8"/>
    <x v="9"/>
    <n v="27.4"/>
    <x v="383"/>
    <x v="17"/>
    <d v="2025-01-20T00:00:00"/>
    <s v="O"/>
    <x v="0"/>
    <x v="0"/>
    <x v="0"/>
    <x v="3"/>
    <x v="1"/>
    <x v="2"/>
    <x v="3"/>
  </r>
  <r>
    <x v="404"/>
    <x v="10"/>
    <x v="1"/>
    <n v="61.3"/>
    <x v="384"/>
    <x v="17"/>
    <d v="2025-01-19T00:00:00"/>
    <s v="F"/>
    <x v="1"/>
    <x v="0"/>
    <x v="0"/>
    <x v="6"/>
    <x v="3"/>
    <x v="2"/>
    <x v="2"/>
  </r>
  <r>
    <x v="405"/>
    <x v="8"/>
    <x v="1"/>
    <n v="64.7"/>
    <x v="385"/>
    <x v="17"/>
    <d v="2025-01-20T00:00:00"/>
    <s v="F"/>
    <x v="3"/>
    <x v="2"/>
    <x v="0"/>
    <x v="6"/>
    <x v="1"/>
    <x v="2"/>
    <x v="2"/>
  </r>
  <r>
    <x v="406"/>
    <x v="7"/>
    <x v="12"/>
    <n v="91.4"/>
    <x v="386"/>
    <x v="17"/>
    <d v="2025-01-20T00:00:00"/>
    <s v="F"/>
    <x v="0"/>
    <x v="0"/>
    <x v="0"/>
    <x v="8"/>
    <x v="1"/>
    <x v="2"/>
    <x v="2"/>
  </r>
  <r>
    <x v="407"/>
    <x v="0"/>
    <x v="1"/>
    <n v="33.1"/>
    <x v="387"/>
    <x v="18"/>
    <d v="2025-01-20T00:00:00"/>
    <s v="M"/>
    <x v="0"/>
    <x v="2"/>
    <x v="0"/>
    <x v="8"/>
    <x v="3"/>
    <x v="3"/>
    <x v="1"/>
  </r>
  <r>
    <x v="408"/>
    <x v="3"/>
    <x v="1"/>
    <n v="105.6"/>
    <x v="23"/>
    <x v="18"/>
    <d v="2025-01-20T00:00:00"/>
    <s v="M"/>
    <x v="2"/>
    <x v="1"/>
    <x v="0"/>
    <x v="8"/>
    <x v="3"/>
    <x v="3"/>
    <x v="1"/>
  </r>
  <r>
    <x v="409"/>
    <x v="10"/>
    <x v="2"/>
    <n v="46.4"/>
    <x v="388"/>
    <x v="18"/>
    <d v="2025-01-20T00:00:00"/>
    <s v="M"/>
    <x v="2"/>
    <x v="0"/>
    <x v="0"/>
    <x v="9"/>
    <x v="3"/>
    <x v="3"/>
    <x v="1"/>
  </r>
  <r>
    <x v="410"/>
    <x v="9"/>
    <x v="21"/>
    <n v="35.299999999999997"/>
    <x v="389"/>
    <x v="18"/>
    <d v="2025-01-22T00:00:00"/>
    <s v="F"/>
    <x v="4"/>
    <x v="1"/>
    <x v="0"/>
    <x v="11"/>
    <x v="2"/>
    <x v="3"/>
    <x v="2"/>
  </r>
  <r>
    <x v="411"/>
    <x v="0"/>
    <x v="1"/>
    <n v="16.100000000000001"/>
    <x v="390"/>
    <x v="18"/>
    <d v="2025-01-21T00:00:00"/>
    <s v="M"/>
    <x v="3"/>
    <x v="2"/>
    <x v="0"/>
    <x v="32"/>
    <x v="1"/>
    <x v="3"/>
    <x v="1"/>
  </r>
  <r>
    <x v="412"/>
    <x v="4"/>
    <x v="1"/>
    <n v="27.9"/>
    <x v="391"/>
    <x v="18"/>
    <d v="2025-01-22T00:00:00"/>
    <s v="M"/>
    <x v="0"/>
    <x v="0"/>
    <x v="0"/>
    <x v="13"/>
    <x v="2"/>
    <x v="3"/>
    <x v="1"/>
  </r>
  <r>
    <x v="413"/>
    <x v="8"/>
    <x v="0"/>
    <n v="47.1"/>
    <x v="392"/>
    <x v="18"/>
    <d v="2025-01-27T00:00:00"/>
    <s v="F"/>
    <x v="1"/>
    <x v="0"/>
    <x v="0"/>
    <x v="2"/>
    <x v="9"/>
    <x v="3"/>
    <x v="2"/>
  </r>
  <r>
    <x v="414"/>
    <x v="6"/>
    <x v="1"/>
    <n v="85"/>
    <x v="393"/>
    <x v="18"/>
    <d v="2025-01-22T00:00:00"/>
    <s v=""/>
    <x v="2"/>
    <x v="2"/>
    <x v="0"/>
    <x v="22"/>
    <x v="2"/>
    <x v="3"/>
    <x v="0"/>
  </r>
  <r>
    <x v="415"/>
    <x v="18"/>
    <x v="1"/>
    <n v="89"/>
    <x v="394"/>
    <x v="18"/>
    <d v="2025-01-21T00:00:00"/>
    <s v="F"/>
    <x v="0"/>
    <x v="0"/>
    <x v="0"/>
    <x v="3"/>
    <x v="1"/>
    <x v="3"/>
    <x v="2"/>
  </r>
  <r>
    <x v="416"/>
    <x v="16"/>
    <x v="2"/>
    <n v="36.6"/>
    <x v="17"/>
    <x v="18"/>
    <d v="2025-01-20T00:00:00"/>
    <s v="O"/>
    <x v="3"/>
    <x v="2"/>
    <x v="0"/>
    <x v="3"/>
    <x v="3"/>
    <x v="3"/>
    <x v="3"/>
  </r>
  <r>
    <x v="417"/>
    <x v="6"/>
    <x v="3"/>
    <n v="43.5"/>
    <x v="395"/>
    <x v="18"/>
    <d v="2025-01-20T00:00:00"/>
    <s v="M"/>
    <x v="1"/>
    <x v="2"/>
    <x v="0"/>
    <x v="3"/>
    <x v="3"/>
    <x v="3"/>
    <x v="1"/>
  </r>
  <r>
    <x v="418"/>
    <x v="9"/>
    <x v="10"/>
    <n v="30.5"/>
    <x v="396"/>
    <x v="18"/>
    <d v="2025-01-19T00:00:00"/>
    <s v="F"/>
    <x v="3"/>
    <x v="0"/>
    <x v="0"/>
    <x v="3"/>
    <x v="7"/>
    <x v="3"/>
    <x v="2"/>
  </r>
  <r>
    <x v="419"/>
    <x v="1"/>
    <x v="1"/>
    <n v="107.7"/>
    <x v="397"/>
    <x v="18"/>
    <d v="2025-01-23T00:00:00"/>
    <s v="M"/>
    <x v="3"/>
    <x v="4"/>
    <x v="0"/>
    <x v="3"/>
    <x v="5"/>
    <x v="3"/>
    <x v="1"/>
  </r>
  <r>
    <x v="420"/>
    <x v="17"/>
    <x v="18"/>
    <n v="57.1"/>
    <x v="398"/>
    <x v="18"/>
    <d v="2025-01-20T00:00:00"/>
    <s v="M"/>
    <x v="1"/>
    <x v="0"/>
    <x v="0"/>
    <x v="3"/>
    <x v="3"/>
    <x v="3"/>
    <x v="1"/>
  </r>
  <r>
    <x v="421"/>
    <x v="2"/>
    <x v="7"/>
    <n v="111.7"/>
    <x v="399"/>
    <x v="18"/>
    <d v="2025-01-20T00:00:00"/>
    <s v="F"/>
    <x v="4"/>
    <x v="2"/>
    <x v="0"/>
    <x v="3"/>
    <x v="3"/>
    <x v="3"/>
    <x v="2"/>
  </r>
  <r>
    <x v="422"/>
    <x v="18"/>
    <x v="3"/>
    <n v="44.3"/>
    <x v="400"/>
    <x v="18"/>
    <d v="2025-01-22T00:00:00"/>
    <s v="M"/>
    <x v="3"/>
    <x v="2"/>
    <x v="0"/>
    <x v="3"/>
    <x v="2"/>
    <x v="3"/>
    <x v="1"/>
  </r>
  <r>
    <x v="423"/>
    <x v="2"/>
    <x v="8"/>
    <n v="95.8"/>
    <x v="401"/>
    <x v="18"/>
    <d v="2025-01-25T00:00:00"/>
    <s v="O"/>
    <x v="0"/>
    <x v="0"/>
    <x v="0"/>
    <x v="3"/>
    <x v="4"/>
    <x v="3"/>
    <x v="3"/>
  </r>
  <r>
    <x v="424"/>
    <x v="10"/>
    <x v="3"/>
    <n v="22.6"/>
    <x v="402"/>
    <x v="18"/>
    <d v="2025-01-22T00:00:00"/>
    <s v="F"/>
    <x v="3"/>
    <x v="1"/>
    <x v="0"/>
    <x v="3"/>
    <x v="2"/>
    <x v="3"/>
    <x v="2"/>
  </r>
  <r>
    <x v="425"/>
    <x v="8"/>
    <x v="8"/>
    <n v="25.6"/>
    <x v="403"/>
    <x v="18"/>
    <d v="2025-01-21T00:00:00"/>
    <s v="F"/>
    <x v="4"/>
    <x v="0"/>
    <x v="0"/>
    <x v="3"/>
    <x v="1"/>
    <x v="3"/>
    <x v="2"/>
  </r>
  <r>
    <x v="426"/>
    <x v="6"/>
    <x v="27"/>
    <n v="54.3"/>
    <x v="404"/>
    <x v="18"/>
    <d v="2025-01-22T00:00:00"/>
    <s v="F"/>
    <x v="4"/>
    <x v="0"/>
    <x v="0"/>
    <x v="3"/>
    <x v="2"/>
    <x v="3"/>
    <x v="2"/>
  </r>
  <r>
    <x v="427"/>
    <x v="18"/>
    <x v="15"/>
    <n v="51.3"/>
    <x v="405"/>
    <x v="18"/>
    <d v="2025-01-21T00:00:00"/>
    <s v="M"/>
    <x v="0"/>
    <x v="2"/>
    <x v="0"/>
    <x v="3"/>
    <x v="1"/>
    <x v="3"/>
    <x v="1"/>
  </r>
  <r>
    <x v="428"/>
    <x v="0"/>
    <x v="8"/>
    <n v="25.6"/>
    <x v="403"/>
    <x v="18"/>
    <d v="2025-01-20T00:00:00"/>
    <s v="F"/>
    <x v="1"/>
    <x v="1"/>
    <x v="0"/>
    <x v="3"/>
    <x v="3"/>
    <x v="3"/>
    <x v="2"/>
  </r>
  <r>
    <x v="429"/>
    <x v="0"/>
    <x v="1"/>
    <n v="15.6"/>
    <x v="406"/>
    <x v="18"/>
    <d v="2025-01-20T00:00:00"/>
    <s v="F"/>
    <x v="2"/>
    <x v="2"/>
    <x v="0"/>
    <x v="3"/>
    <x v="3"/>
    <x v="3"/>
    <x v="2"/>
  </r>
  <r>
    <x v="430"/>
    <x v="8"/>
    <x v="2"/>
    <n v="30.3"/>
    <x v="407"/>
    <x v="18"/>
    <d v="2025-01-23T00:00:00"/>
    <s v="F"/>
    <x v="0"/>
    <x v="1"/>
    <x v="0"/>
    <x v="3"/>
    <x v="5"/>
    <x v="3"/>
    <x v="2"/>
  </r>
  <r>
    <x v="431"/>
    <x v="12"/>
    <x v="1"/>
    <n v="30.3"/>
    <x v="408"/>
    <x v="18"/>
    <d v="2025-01-24T00:00:00"/>
    <s v="F"/>
    <x v="0"/>
    <x v="2"/>
    <x v="0"/>
    <x v="37"/>
    <x v="0"/>
    <x v="3"/>
    <x v="2"/>
  </r>
  <r>
    <x v="432"/>
    <x v="10"/>
    <x v="2"/>
    <n v="53"/>
    <x v="409"/>
    <x v="18"/>
    <d v="2025-01-26T00:00:00"/>
    <s v="F"/>
    <x v="2"/>
    <x v="0"/>
    <x v="0"/>
    <x v="24"/>
    <x v="6"/>
    <x v="3"/>
    <x v="2"/>
  </r>
  <r>
    <x v="433"/>
    <x v="5"/>
    <x v="16"/>
    <n v="59.9"/>
    <x v="410"/>
    <x v="18"/>
    <d v="2025-01-22T00:00:00"/>
    <s v="M"/>
    <x v="2"/>
    <x v="4"/>
    <x v="0"/>
    <x v="25"/>
    <x v="2"/>
    <x v="3"/>
    <x v="1"/>
  </r>
  <r>
    <x v="434"/>
    <x v="9"/>
    <x v="1"/>
    <n v="45.7"/>
    <x v="411"/>
    <x v="18"/>
    <d v="2025-01-20T00:00:00"/>
    <s v="F"/>
    <x v="1"/>
    <x v="2"/>
    <x v="0"/>
    <x v="6"/>
    <x v="3"/>
    <x v="3"/>
    <x v="2"/>
  </r>
  <r>
    <x v="435"/>
    <x v="8"/>
    <x v="12"/>
    <n v="46.1"/>
    <x v="412"/>
    <x v="18"/>
    <d v="2025-01-20T00:00:00"/>
    <s v="M"/>
    <x v="0"/>
    <x v="0"/>
    <x v="0"/>
    <x v="6"/>
    <x v="3"/>
    <x v="3"/>
    <x v="1"/>
  </r>
  <r>
    <x v="436"/>
    <x v="8"/>
    <x v="2"/>
    <n v="17.5"/>
    <x v="413"/>
    <x v="18"/>
    <d v="2025-01-20T00:00:00"/>
    <s v="F"/>
    <x v="0"/>
    <x v="2"/>
    <x v="0"/>
    <x v="8"/>
    <x v="3"/>
    <x v="3"/>
    <x v="2"/>
  </r>
  <r>
    <x v="437"/>
    <x v="10"/>
    <x v="2"/>
    <n v="36.5"/>
    <x v="414"/>
    <x v="18"/>
    <d v="2025-01-30T00:00:00"/>
    <s v="M"/>
    <x v="2"/>
    <x v="0"/>
    <x v="0"/>
    <x v="8"/>
    <x v="11"/>
    <x v="3"/>
    <x v="1"/>
  </r>
  <r>
    <x v="438"/>
    <x v="8"/>
    <x v="1"/>
    <n v="47.5"/>
    <x v="415"/>
    <x v="19"/>
    <d v="2025-01-22T00:00:00"/>
    <s v="F"/>
    <x v="1"/>
    <x v="0"/>
    <x v="0"/>
    <x v="8"/>
    <x v="1"/>
    <x v="3"/>
    <x v="2"/>
  </r>
  <r>
    <x v="439"/>
    <x v="6"/>
    <x v="9"/>
    <n v="45.6"/>
    <x v="416"/>
    <x v="19"/>
    <d v="2025-01-22T00:00:00"/>
    <s v="F"/>
    <x v="0"/>
    <x v="2"/>
    <x v="0"/>
    <x v="8"/>
    <x v="1"/>
    <x v="3"/>
    <x v="2"/>
  </r>
  <r>
    <x v="440"/>
    <x v="9"/>
    <x v="1"/>
    <n v="50.5"/>
    <x v="95"/>
    <x v="19"/>
    <d v="2025-01-22T00:00:00"/>
    <s v="M"/>
    <x v="0"/>
    <x v="1"/>
    <x v="0"/>
    <x v="17"/>
    <x v="1"/>
    <x v="3"/>
    <x v="1"/>
  </r>
  <r>
    <x v="441"/>
    <x v="2"/>
    <x v="7"/>
    <n v="99.8"/>
    <x v="417"/>
    <x v="19"/>
    <d v="2025-01-23T00:00:00"/>
    <s v="F"/>
    <x v="2"/>
    <x v="1"/>
    <x v="0"/>
    <x v="17"/>
    <x v="2"/>
    <x v="3"/>
    <x v="2"/>
  </r>
  <r>
    <x v="442"/>
    <x v="8"/>
    <x v="20"/>
    <n v="19.2"/>
    <x v="346"/>
    <x v="19"/>
    <d v="2025-01-22T00:00:00"/>
    <s v="O"/>
    <x v="4"/>
    <x v="1"/>
    <x v="0"/>
    <x v="26"/>
    <x v="1"/>
    <x v="3"/>
    <x v="3"/>
  </r>
  <r>
    <x v="443"/>
    <x v="17"/>
    <x v="2"/>
    <n v="22.6"/>
    <x v="418"/>
    <x v="19"/>
    <d v="2025-01-21T00:00:00"/>
    <s v="M"/>
    <x v="1"/>
    <x v="0"/>
    <x v="0"/>
    <x v="11"/>
    <x v="3"/>
    <x v="3"/>
    <x v="1"/>
  </r>
  <r>
    <x v="444"/>
    <x v="1"/>
    <x v="20"/>
    <n v="126.9"/>
    <x v="419"/>
    <x v="19"/>
    <d v="2025-01-22T00:00:00"/>
    <s v="F"/>
    <x v="0"/>
    <x v="2"/>
    <x v="0"/>
    <x v="11"/>
    <x v="1"/>
    <x v="3"/>
    <x v="2"/>
  </r>
  <r>
    <x v="445"/>
    <x v="2"/>
    <x v="1"/>
    <n v="100.3"/>
    <x v="420"/>
    <x v="19"/>
    <d v="2025-01-21T00:00:00"/>
    <s v="F"/>
    <x v="0"/>
    <x v="1"/>
    <x v="0"/>
    <x v="11"/>
    <x v="3"/>
    <x v="3"/>
    <x v="2"/>
  </r>
  <r>
    <x v="446"/>
    <x v="4"/>
    <x v="16"/>
    <n v="24.6"/>
    <x v="421"/>
    <x v="19"/>
    <d v="2025-01-21T00:00:00"/>
    <s v="F"/>
    <x v="4"/>
    <x v="0"/>
    <x v="0"/>
    <x v="13"/>
    <x v="3"/>
    <x v="3"/>
    <x v="2"/>
  </r>
  <r>
    <x v="447"/>
    <x v="6"/>
    <x v="1"/>
    <n v="47.3"/>
    <x v="422"/>
    <x v="19"/>
    <d v="2025-01-21T00:00:00"/>
    <s v="M"/>
    <x v="1"/>
    <x v="2"/>
    <x v="0"/>
    <x v="13"/>
    <x v="3"/>
    <x v="3"/>
    <x v="1"/>
  </r>
  <r>
    <x v="448"/>
    <x v="6"/>
    <x v="3"/>
    <n v="40.799999999999997"/>
    <x v="423"/>
    <x v="19"/>
    <d v="2025-01-23T00:00:00"/>
    <s v="F"/>
    <x v="2"/>
    <x v="2"/>
    <x v="0"/>
    <x v="21"/>
    <x v="2"/>
    <x v="3"/>
    <x v="2"/>
  </r>
  <r>
    <x v="449"/>
    <x v="8"/>
    <x v="8"/>
    <n v="49.2"/>
    <x v="424"/>
    <x v="19"/>
    <d v="2025-01-22T00:00:00"/>
    <s v="F"/>
    <x v="0"/>
    <x v="0"/>
    <x v="0"/>
    <x v="1"/>
    <x v="1"/>
    <x v="3"/>
    <x v="2"/>
  </r>
  <r>
    <x v="450"/>
    <x v="8"/>
    <x v="0"/>
    <n v="28.5"/>
    <x v="425"/>
    <x v="19"/>
    <d v="2025-01-22T00:00:00"/>
    <s v=""/>
    <x v="2"/>
    <x v="1"/>
    <x v="0"/>
    <x v="3"/>
    <x v="1"/>
    <x v="3"/>
    <x v="0"/>
  </r>
  <r>
    <x v="451"/>
    <x v="18"/>
    <x v="1"/>
    <n v="36.799999999999997"/>
    <x v="426"/>
    <x v="19"/>
    <d v="2025-01-26T00:00:00"/>
    <s v="F"/>
    <x v="0"/>
    <x v="2"/>
    <x v="0"/>
    <x v="3"/>
    <x v="4"/>
    <x v="3"/>
    <x v="2"/>
  </r>
  <r>
    <x v="452"/>
    <x v="7"/>
    <x v="2"/>
    <n v="33.5"/>
    <x v="427"/>
    <x v="19"/>
    <d v="2025-01-21T00:00:00"/>
    <s v="F"/>
    <x v="0"/>
    <x v="1"/>
    <x v="0"/>
    <x v="3"/>
    <x v="3"/>
    <x v="3"/>
    <x v="2"/>
  </r>
  <r>
    <x v="453"/>
    <x v="6"/>
    <x v="13"/>
    <n v="62.5"/>
    <x v="428"/>
    <x v="19"/>
    <d v="2025-01-22T00:00:00"/>
    <s v="F"/>
    <x v="0"/>
    <x v="0"/>
    <x v="0"/>
    <x v="3"/>
    <x v="1"/>
    <x v="3"/>
    <x v="2"/>
  </r>
  <r>
    <x v="454"/>
    <x v="8"/>
    <x v="29"/>
    <n v="47.9"/>
    <x v="429"/>
    <x v="19"/>
    <d v="2025-01-21T00:00:00"/>
    <s v="F"/>
    <x v="3"/>
    <x v="0"/>
    <x v="0"/>
    <x v="3"/>
    <x v="3"/>
    <x v="3"/>
    <x v="2"/>
  </r>
  <r>
    <x v="455"/>
    <x v="6"/>
    <x v="13"/>
    <n v="92.9"/>
    <x v="430"/>
    <x v="19"/>
    <d v="2025-01-31T00:00:00"/>
    <s v="F"/>
    <x v="0"/>
    <x v="4"/>
    <x v="0"/>
    <x v="3"/>
    <x v="11"/>
    <x v="3"/>
    <x v="2"/>
  </r>
  <r>
    <x v="456"/>
    <x v="12"/>
    <x v="2"/>
    <n v="44.1"/>
    <x v="431"/>
    <x v="19"/>
    <d v="2025-01-20T00:00:00"/>
    <s v="F"/>
    <x v="1"/>
    <x v="1"/>
    <x v="0"/>
    <x v="43"/>
    <x v="7"/>
    <x v="3"/>
    <x v="2"/>
  </r>
  <r>
    <x v="457"/>
    <x v="0"/>
    <x v="0"/>
    <n v="11.4"/>
    <x v="432"/>
    <x v="20"/>
    <d v="2025-01-23T00:00:00"/>
    <s v="F"/>
    <x v="2"/>
    <x v="0"/>
    <x v="0"/>
    <x v="5"/>
    <x v="1"/>
    <x v="3"/>
    <x v="2"/>
  </r>
  <r>
    <x v="458"/>
    <x v="6"/>
    <x v="0"/>
    <n v="83.7"/>
    <x v="433"/>
    <x v="20"/>
    <d v="2025-01-23T00:00:00"/>
    <s v="F"/>
    <x v="0"/>
    <x v="2"/>
    <x v="0"/>
    <x v="6"/>
    <x v="1"/>
    <x v="3"/>
    <x v="2"/>
  </r>
  <r>
    <x v="459"/>
    <x v="10"/>
    <x v="1"/>
    <n v="23.2"/>
    <x v="434"/>
    <x v="20"/>
    <d v="2025-01-22T00:00:00"/>
    <s v="M"/>
    <x v="2"/>
    <x v="0"/>
    <x v="0"/>
    <x v="8"/>
    <x v="3"/>
    <x v="3"/>
    <x v="1"/>
  </r>
  <r>
    <x v="460"/>
    <x v="2"/>
    <x v="0"/>
    <n v="162.1"/>
    <x v="435"/>
    <x v="20"/>
    <d v="2025-01-24T00:00:00"/>
    <s v="F"/>
    <x v="0"/>
    <x v="2"/>
    <x v="0"/>
    <x v="9"/>
    <x v="2"/>
    <x v="3"/>
    <x v="2"/>
  </r>
  <r>
    <x v="461"/>
    <x v="6"/>
    <x v="12"/>
    <n v="49.2"/>
    <x v="436"/>
    <x v="20"/>
    <d v="2025-01-25T00:00:00"/>
    <s v="M"/>
    <x v="1"/>
    <x v="0"/>
    <x v="0"/>
    <x v="9"/>
    <x v="5"/>
    <x v="3"/>
    <x v="1"/>
  </r>
  <r>
    <x v="462"/>
    <x v="1"/>
    <x v="1"/>
    <n v="61"/>
    <x v="164"/>
    <x v="20"/>
    <d v="2025-01-22T00:00:00"/>
    <s v="M"/>
    <x v="3"/>
    <x v="0"/>
    <x v="0"/>
    <x v="10"/>
    <x v="3"/>
    <x v="3"/>
    <x v="1"/>
  </r>
  <r>
    <x v="463"/>
    <x v="2"/>
    <x v="7"/>
    <n v="53.1"/>
    <x v="437"/>
    <x v="20"/>
    <d v="2025-01-23T00:00:00"/>
    <s v="M"/>
    <x v="0"/>
    <x v="0"/>
    <x v="0"/>
    <x v="11"/>
    <x v="1"/>
    <x v="3"/>
    <x v="1"/>
  </r>
  <r>
    <x v="464"/>
    <x v="4"/>
    <x v="1"/>
    <n v="22.4"/>
    <x v="438"/>
    <x v="20"/>
    <d v="2025-01-23T00:00:00"/>
    <s v=""/>
    <x v="1"/>
    <x v="2"/>
    <x v="0"/>
    <x v="13"/>
    <x v="1"/>
    <x v="3"/>
    <x v="0"/>
  </r>
  <r>
    <x v="465"/>
    <x v="1"/>
    <x v="9"/>
    <n v="75.3"/>
    <x v="439"/>
    <x v="20"/>
    <d v="2025-01-22T00:00:00"/>
    <s v="M"/>
    <x v="0"/>
    <x v="0"/>
    <x v="0"/>
    <x v="21"/>
    <x v="3"/>
    <x v="3"/>
    <x v="1"/>
  </r>
  <r>
    <x v="466"/>
    <x v="6"/>
    <x v="0"/>
    <n v="48.5"/>
    <x v="319"/>
    <x v="20"/>
    <d v="2025-01-22T00:00:00"/>
    <s v="F"/>
    <x v="0"/>
    <x v="1"/>
    <x v="0"/>
    <x v="21"/>
    <x v="3"/>
    <x v="3"/>
    <x v="2"/>
  </r>
  <r>
    <x v="467"/>
    <x v="6"/>
    <x v="0"/>
    <n v="42.6"/>
    <x v="440"/>
    <x v="20"/>
    <d v="2025-01-25T00:00:00"/>
    <s v="F"/>
    <x v="3"/>
    <x v="0"/>
    <x v="0"/>
    <x v="1"/>
    <x v="5"/>
    <x v="3"/>
    <x v="2"/>
  </r>
  <r>
    <x v="468"/>
    <x v="5"/>
    <x v="9"/>
    <n v="49"/>
    <x v="441"/>
    <x v="20"/>
    <d v="2025-01-22T00:00:00"/>
    <s v="M"/>
    <x v="0"/>
    <x v="0"/>
    <x v="0"/>
    <x v="22"/>
    <x v="3"/>
    <x v="3"/>
    <x v="1"/>
  </r>
  <r>
    <x v="469"/>
    <x v="8"/>
    <x v="2"/>
    <n v="31.3"/>
    <x v="442"/>
    <x v="20"/>
    <d v="2025-01-22T00:00:00"/>
    <s v="M"/>
    <x v="2"/>
    <x v="1"/>
    <x v="0"/>
    <x v="3"/>
    <x v="3"/>
    <x v="3"/>
    <x v="1"/>
  </r>
  <r>
    <x v="470"/>
    <x v="2"/>
    <x v="1"/>
    <n v="85.4"/>
    <x v="443"/>
    <x v="20"/>
    <d v="2025-01-22T00:00:00"/>
    <s v="F"/>
    <x v="2"/>
    <x v="0"/>
    <x v="0"/>
    <x v="3"/>
    <x v="3"/>
    <x v="3"/>
    <x v="2"/>
  </r>
  <r>
    <x v="471"/>
    <x v="8"/>
    <x v="12"/>
    <n v="40"/>
    <x v="444"/>
    <x v="20"/>
    <d v="2025-01-22T00:00:00"/>
    <s v="O"/>
    <x v="0"/>
    <x v="2"/>
    <x v="0"/>
    <x v="3"/>
    <x v="3"/>
    <x v="3"/>
    <x v="3"/>
  </r>
  <r>
    <x v="472"/>
    <x v="5"/>
    <x v="1"/>
    <n v="38.5"/>
    <x v="445"/>
    <x v="20"/>
    <d v="2025-01-24T00:00:00"/>
    <s v="M"/>
    <x v="1"/>
    <x v="2"/>
    <x v="0"/>
    <x v="3"/>
    <x v="2"/>
    <x v="3"/>
    <x v="1"/>
  </r>
  <r>
    <x v="473"/>
    <x v="2"/>
    <x v="1"/>
    <n v="57.8"/>
    <x v="446"/>
    <x v="20"/>
    <d v="2025-01-22T00:00:00"/>
    <s v=""/>
    <x v="0"/>
    <x v="0"/>
    <x v="0"/>
    <x v="3"/>
    <x v="3"/>
    <x v="3"/>
    <x v="0"/>
  </r>
  <r>
    <x v="474"/>
    <x v="8"/>
    <x v="0"/>
    <n v="19.2"/>
    <x v="447"/>
    <x v="20"/>
    <d v="2025-01-22T00:00:00"/>
    <s v="F"/>
    <x v="0"/>
    <x v="4"/>
    <x v="0"/>
    <x v="3"/>
    <x v="3"/>
    <x v="3"/>
    <x v="2"/>
  </r>
  <r>
    <x v="475"/>
    <x v="6"/>
    <x v="13"/>
    <n v="114.8"/>
    <x v="448"/>
    <x v="20"/>
    <d v="2025-01-24T00:00:00"/>
    <s v="M"/>
    <x v="1"/>
    <x v="1"/>
    <x v="0"/>
    <x v="3"/>
    <x v="2"/>
    <x v="3"/>
    <x v="1"/>
  </r>
  <r>
    <x v="476"/>
    <x v="10"/>
    <x v="3"/>
    <n v="48.4"/>
    <x v="449"/>
    <x v="20"/>
    <d v="2025-01-24T00:00:00"/>
    <s v="F"/>
    <x v="3"/>
    <x v="1"/>
    <x v="0"/>
    <x v="3"/>
    <x v="2"/>
    <x v="3"/>
    <x v="2"/>
  </r>
  <r>
    <x v="477"/>
    <x v="9"/>
    <x v="9"/>
    <n v="73.2"/>
    <x v="450"/>
    <x v="20"/>
    <d v="2025-01-22T00:00:00"/>
    <s v="F"/>
    <x v="1"/>
    <x v="4"/>
    <x v="0"/>
    <x v="3"/>
    <x v="3"/>
    <x v="3"/>
    <x v="2"/>
  </r>
  <r>
    <x v="478"/>
    <x v="15"/>
    <x v="1"/>
    <n v="48.6"/>
    <x v="451"/>
    <x v="20"/>
    <d v="2025-01-25T00:00:00"/>
    <s v="F"/>
    <x v="3"/>
    <x v="0"/>
    <x v="0"/>
    <x v="3"/>
    <x v="5"/>
    <x v="3"/>
    <x v="2"/>
  </r>
  <r>
    <x v="479"/>
    <x v="0"/>
    <x v="13"/>
    <n v="48.7"/>
    <x v="452"/>
    <x v="20"/>
    <d v="2025-01-22T00:00:00"/>
    <s v="M"/>
    <x v="0"/>
    <x v="0"/>
    <x v="0"/>
    <x v="3"/>
    <x v="3"/>
    <x v="3"/>
    <x v="1"/>
  </r>
  <r>
    <x v="480"/>
    <x v="4"/>
    <x v="1"/>
    <n v="32.200000000000003"/>
    <x v="453"/>
    <x v="20"/>
    <d v="2025-01-24T00:00:00"/>
    <s v="M"/>
    <x v="2"/>
    <x v="2"/>
    <x v="0"/>
    <x v="3"/>
    <x v="2"/>
    <x v="3"/>
    <x v="1"/>
  </r>
  <r>
    <x v="481"/>
    <x v="15"/>
    <x v="8"/>
    <n v="25.8"/>
    <x v="454"/>
    <x v="20"/>
    <d v="2025-01-22T00:00:00"/>
    <s v="M"/>
    <x v="0"/>
    <x v="0"/>
    <x v="0"/>
    <x v="37"/>
    <x v="3"/>
    <x v="3"/>
    <x v="1"/>
  </r>
  <r>
    <x v="482"/>
    <x v="6"/>
    <x v="1"/>
    <n v="94.8"/>
    <x v="455"/>
    <x v="21"/>
    <d v="2025-01-25T00:00:00"/>
    <s v="F"/>
    <x v="1"/>
    <x v="1"/>
    <x v="0"/>
    <x v="25"/>
    <x v="2"/>
    <x v="3"/>
    <x v="2"/>
  </r>
  <r>
    <x v="483"/>
    <x v="15"/>
    <x v="30"/>
    <n v="56.8"/>
    <x v="456"/>
    <x v="21"/>
    <d v="2025-01-25T00:00:00"/>
    <s v="M"/>
    <x v="0"/>
    <x v="0"/>
    <x v="0"/>
    <x v="25"/>
    <x v="2"/>
    <x v="3"/>
    <x v="1"/>
  </r>
  <r>
    <x v="484"/>
    <x v="8"/>
    <x v="27"/>
    <n v="18.3"/>
    <x v="457"/>
    <x v="21"/>
    <d v="2025-01-29T00:00:00"/>
    <s v="F"/>
    <x v="2"/>
    <x v="2"/>
    <x v="0"/>
    <x v="23"/>
    <x v="6"/>
    <x v="3"/>
    <x v="2"/>
  </r>
  <r>
    <x v="485"/>
    <x v="0"/>
    <x v="2"/>
    <n v="16.8"/>
    <x v="458"/>
    <x v="21"/>
    <d v="2025-01-27T00:00:00"/>
    <s v="F"/>
    <x v="2"/>
    <x v="2"/>
    <x v="0"/>
    <x v="8"/>
    <x v="0"/>
    <x v="3"/>
    <x v="2"/>
  </r>
  <r>
    <x v="486"/>
    <x v="5"/>
    <x v="5"/>
    <n v="35.799999999999997"/>
    <x v="459"/>
    <x v="21"/>
    <d v="2025-01-23T00:00:00"/>
    <s v="M"/>
    <x v="1"/>
    <x v="0"/>
    <x v="0"/>
    <x v="17"/>
    <x v="3"/>
    <x v="3"/>
    <x v="1"/>
  </r>
  <r>
    <x v="487"/>
    <x v="18"/>
    <x v="0"/>
    <n v="64.900000000000006"/>
    <x v="460"/>
    <x v="21"/>
    <d v="2025-01-23T00:00:00"/>
    <s v="M"/>
    <x v="0"/>
    <x v="1"/>
    <x v="0"/>
    <x v="17"/>
    <x v="3"/>
    <x v="3"/>
    <x v="1"/>
  </r>
  <r>
    <x v="488"/>
    <x v="18"/>
    <x v="0"/>
    <n v="28.5"/>
    <x v="425"/>
    <x v="21"/>
    <d v="2025-01-24T00:00:00"/>
    <s v=""/>
    <x v="1"/>
    <x v="0"/>
    <x v="0"/>
    <x v="9"/>
    <x v="1"/>
    <x v="3"/>
    <x v="0"/>
  </r>
  <r>
    <x v="489"/>
    <x v="18"/>
    <x v="1"/>
    <n v="103.5"/>
    <x v="461"/>
    <x v="21"/>
    <d v="2025-01-24T00:00:00"/>
    <s v="F"/>
    <x v="1"/>
    <x v="0"/>
    <x v="0"/>
    <x v="10"/>
    <x v="1"/>
    <x v="3"/>
    <x v="2"/>
  </r>
  <r>
    <x v="490"/>
    <x v="4"/>
    <x v="1"/>
    <n v="41.2"/>
    <x v="462"/>
    <x v="21"/>
    <d v="2025-01-23T00:00:00"/>
    <s v="F"/>
    <x v="1"/>
    <x v="0"/>
    <x v="0"/>
    <x v="10"/>
    <x v="3"/>
    <x v="3"/>
    <x v="2"/>
  </r>
  <r>
    <x v="491"/>
    <x v="9"/>
    <x v="0"/>
    <n v="37.799999999999997"/>
    <x v="463"/>
    <x v="21"/>
    <d v="2025-01-24T00:00:00"/>
    <s v="F"/>
    <x v="3"/>
    <x v="3"/>
    <x v="0"/>
    <x v="11"/>
    <x v="1"/>
    <x v="3"/>
    <x v="2"/>
  </r>
  <r>
    <x v="492"/>
    <x v="8"/>
    <x v="1"/>
    <n v="42.6"/>
    <x v="464"/>
    <x v="21"/>
    <d v="2025-01-24T00:00:00"/>
    <s v="F"/>
    <x v="4"/>
    <x v="0"/>
    <x v="0"/>
    <x v="11"/>
    <x v="1"/>
    <x v="3"/>
    <x v="2"/>
  </r>
  <r>
    <x v="493"/>
    <x v="8"/>
    <x v="7"/>
    <n v="15.2"/>
    <x v="465"/>
    <x v="21"/>
    <d v="2025-01-24T00:00:00"/>
    <s v="F"/>
    <x v="2"/>
    <x v="0"/>
    <x v="0"/>
    <x v="11"/>
    <x v="1"/>
    <x v="3"/>
    <x v="2"/>
  </r>
  <r>
    <x v="494"/>
    <x v="7"/>
    <x v="12"/>
    <n v="83.4"/>
    <x v="335"/>
    <x v="21"/>
    <d v="2025-01-23T00:00:00"/>
    <s v="F"/>
    <x v="2"/>
    <x v="1"/>
    <x v="0"/>
    <x v="18"/>
    <x v="3"/>
    <x v="3"/>
    <x v="2"/>
  </r>
  <r>
    <x v="495"/>
    <x v="19"/>
    <x v="1"/>
    <n v="27.7"/>
    <x v="466"/>
    <x v="21"/>
    <d v="2025-01-23T00:00:00"/>
    <s v="F"/>
    <x v="0"/>
    <x v="1"/>
    <x v="0"/>
    <x v="13"/>
    <x v="3"/>
    <x v="3"/>
    <x v="2"/>
  </r>
  <r>
    <x v="496"/>
    <x v="10"/>
    <x v="4"/>
    <n v="20.8"/>
    <x v="467"/>
    <x v="21"/>
    <d v="2025-01-23T00:00:00"/>
    <s v="M"/>
    <x v="3"/>
    <x v="0"/>
    <x v="0"/>
    <x v="13"/>
    <x v="3"/>
    <x v="3"/>
    <x v="1"/>
  </r>
  <r>
    <x v="497"/>
    <x v="11"/>
    <x v="1"/>
    <n v="72.7"/>
    <x v="468"/>
    <x v="21"/>
    <d v="2025-01-26T00:00:00"/>
    <s v="F"/>
    <x v="4"/>
    <x v="2"/>
    <x v="0"/>
    <x v="44"/>
    <x v="5"/>
    <x v="3"/>
    <x v="2"/>
  </r>
  <r>
    <x v="498"/>
    <x v="10"/>
    <x v="12"/>
    <n v="38.6"/>
    <x v="55"/>
    <x v="21"/>
    <d v="2025-01-23T00:00:00"/>
    <s v="M"/>
    <x v="0"/>
    <x v="2"/>
    <x v="0"/>
    <x v="22"/>
    <x v="3"/>
    <x v="3"/>
    <x v="1"/>
  </r>
  <r>
    <x v="499"/>
    <x v="8"/>
    <x v="3"/>
    <n v="33.1"/>
    <x v="217"/>
    <x v="21"/>
    <d v="2025-01-23T00:00:00"/>
    <s v="O"/>
    <x v="4"/>
    <x v="3"/>
    <x v="0"/>
    <x v="3"/>
    <x v="3"/>
    <x v="3"/>
    <x v="3"/>
  </r>
  <r>
    <x v="500"/>
    <x v="10"/>
    <x v="1"/>
    <n v="30.5"/>
    <x v="170"/>
    <x v="21"/>
    <d v="2025-01-22T00:00:00"/>
    <s v=""/>
    <x v="1"/>
    <x v="1"/>
    <x v="0"/>
    <x v="3"/>
    <x v="7"/>
    <x v="3"/>
    <x v="0"/>
  </r>
  <r>
    <x v="501"/>
    <x v="9"/>
    <x v="1"/>
    <n v="69.599999999999994"/>
    <x v="388"/>
    <x v="21"/>
    <d v="2025-01-23T00:00:00"/>
    <s v="M"/>
    <x v="0"/>
    <x v="1"/>
    <x v="0"/>
    <x v="3"/>
    <x v="3"/>
    <x v="3"/>
    <x v="1"/>
  </r>
  <r>
    <x v="502"/>
    <x v="11"/>
    <x v="0"/>
    <n v="42.4"/>
    <x v="469"/>
    <x v="21"/>
    <d v="2025-01-26T00:00:00"/>
    <s v="F"/>
    <x v="1"/>
    <x v="0"/>
    <x v="0"/>
    <x v="3"/>
    <x v="5"/>
    <x v="3"/>
    <x v="2"/>
  </r>
  <r>
    <x v="503"/>
    <x v="17"/>
    <x v="0"/>
    <n v="32.200000000000003"/>
    <x v="390"/>
    <x v="21"/>
    <d v="2025-01-25T00:00:00"/>
    <s v="F"/>
    <x v="2"/>
    <x v="1"/>
    <x v="0"/>
    <x v="3"/>
    <x v="2"/>
    <x v="3"/>
    <x v="2"/>
  </r>
  <r>
    <x v="504"/>
    <x v="6"/>
    <x v="1"/>
    <n v="41.5"/>
    <x v="470"/>
    <x v="21"/>
    <d v="2025-01-25T00:00:00"/>
    <s v="F"/>
    <x v="0"/>
    <x v="2"/>
    <x v="0"/>
    <x v="3"/>
    <x v="2"/>
    <x v="3"/>
    <x v="2"/>
  </r>
  <r>
    <x v="505"/>
    <x v="16"/>
    <x v="11"/>
    <n v="58.9"/>
    <x v="471"/>
    <x v="21"/>
    <d v="2025-01-26T00:00:00"/>
    <s v="F"/>
    <x v="3"/>
    <x v="0"/>
    <x v="0"/>
    <x v="3"/>
    <x v="5"/>
    <x v="3"/>
    <x v="2"/>
  </r>
  <r>
    <x v="506"/>
    <x v="2"/>
    <x v="0"/>
    <n v="57.1"/>
    <x v="472"/>
    <x v="21"/>
    <d v="2025-01-25T00:00:00"/>
    <s v="F"/>
    <x v="1"/>
    <x v="0"/>
    <x v="0"/>
    <x v="3"/>
    <x v="2"/>
    <x v="3"/>
    <x v="2"/>
  </r>
  <r>
    <x v="507"/>
    <x v="6"/>
    <x v="0"/>
    <n v="57.2"/>
    <x v="473"/>
    <x v="21"/>
    <d v="2025-01-24T00:00:00"/>
    <s v="M"/>
    <x v="1"/>
    <x v="0"/>
    <x v="0"/>
    <x v="3"/>
    <x v="1"/>
    <x v="3"/>
    <x v="1"/>
  </r>
  <r>
    <x v="508"/>
    <x v="8"/>
    <x v="1"/>
    <n v="35.1"/>
    <x v="474"/>
    <x v="21"/>
    <d v="2025-01-23T00:00:00"/>
    <s v="M"/>
    <x v="1"/>
    <x v="0"/>
    <x v="0"/>
    <x v="6"/>
    <x v="3"/>
    <x v="3"/>
    <x v="1"/>
  </r>
  <r>
    <x v="509"/>
    <x v="1"/>
    <x v="0"/>
    <n v="52.1"/>
    <x v="475"/>
    <x v="21"/>
    <d v="2025-01-24T00:00:00"/>
    <s v="F"/>
    <x v="4"/>
    <x v="1"/>
    <x v="0"/>
    <x v="8"/>
    <x v="1"/>
    <x v="3"/>
    <x v="2"/>
  </r>
  <r>
    <x v="510"/>
    <x v="13"/>
    <x v="2"/>
    <n v="59.8"/>
    <x v="476"/>
    <x v="21"/>
    <d v="2025-01-24T00:00:00"/>
    <s v="F"/>
    <x v="4"/>
    <x v="1"/>
    <x v="0"/>
    <x v="8"/>
    <x v="1"/>
    <x v="3"/>
    <x v="2"/>
  </r>
  <r>
    <x v="511"/>
    <x v="3"/>
    <x v="12"/>
    <n v="83.3"/>
    <x v="477"/>
    <x v="21"/>
    <d v="2025-01-22T00:00:00"/>
    <s v=""/>
    <x v="2"/>
    <x v="0"/>
    <x v="0"/>
    <x v="8"/>
    <x v="7"/>
    <x v="3"/>
    <x v="0"/>
  </r>
  <r>
    <x v="512"/>
    <x v="15"/>
    <x v="4"/>
    <n v="41.3"/>
    <x v="478"/>
    <x v="21"/>
    <d v="2025-01-23T00:00:00"/>
    <s v="F"/>
    <x v="1"/>
    <x v="0"/>
    <x v="0"/>
    <x v="8"/>
    <x v="3"/>
    <x v="3"/>
    <x v="2"/>
  </r>
  <r>
    <x v="513"/>
    <x v="8"/>
    <x v="9"/>
    <n v="16"/>
    <x v="479"/>
    <x v="21"/>
    <d v="2025-01-24T00:00:00"/>
    <s v="M"/>
    <x v="4"/>
    <x v="1"/>
    <x v="0"/>
    <x v="9"/>
    <x v="1"/>
    <x v="3"/>
    <x v="1"/>
  </r>
  <r>
    <x v="514"/>
    <x v="10"/>
    <x v="1"/>
    <n v="20.8"/>
    <x v="480"/>
    <x v="22"/>
    <d v="2025-01-25T00:00:00"/>
    <s v="M"/>
    <x v="0"/>
    <x v="2"/>
    <x v="0"/>
    <x v="11"/>
    <x v="1"/>
    <x v="3"/>
    <x v="1"/>
  </r>
  <r>
    <x v="515"/>
    <x v="8"/>
    <x v="31"/>
    <n v="27.1"/>
    <x v="481"/>
    <x v="22"/>
    <d v="2025-01-24T00:00:00"/>
    <s v=""/>
    <x v="3"/>
    <x v="2"/>
    <x v="0"/>
    <x v="11"/>
    <x v="3"/>
    <x v="3"/>
    <x v="0"/>
  </r>
  <r>
    <x v="516"/>
    <x v="10"/>
    <x v="1"/>
    <n v="38.9"/>
    <x v="482"/>
    <x v="22"/>
    <d v="2025-01-25T00:00:00"/>
    <s v="F"/>
    <x v="0"/>
    <x v="0"/>
    <x v="0"/>
    <x v="18"/>
    <x v="1"/>
    <x v="3"/>
    <x v="2"/>
  </r>
  <r>
    <x v="517"/>
    <x v="0"/>
    <x v="1"/>
    <n v="10.8"/>
    <x v="483"/>
    <x v="22"/>
    <d v="2025-01-26T00:00:00"/>
    <s v="F"/>
    <x v="1"/>
    <x v="2"/>
    <x v="0"/>
    <x v="45"/>
    <x v="2"/>
    <x v="3"/>
    <x v="2"/>
  </r>
  <r>
    <x v="518"/>
    <x v="4"/>
    <x v="15"/>
    <n v="48.4"/>
    <x v="484"/>
    <x v="22"/>
    <d v="2025-01-27T00:00:00"/>
    <s v="F"/>
    <x v="0"/>
    <x v="0"/>
    <x v="0"/>
    <x v="21"/>
    <x v="5"/>
    <x v="3"/>
    <x v="2"/>
  </r>
  <r>
    <x v="519"/>
    <x v="4"/>
    <x v="2"/>
    <n v="29.2"/>
    <x v="485"/>
    <x v="22"/>
    <d v="2025-01-26T00:00:00"/>
    <s v="F"/>
    <x v="1"/>
    <x v="1"/>
    <x v="0"/>
    <x v="2"/>
    <x v="2"/>
    <x v="3"/>
    <x v="2"/>
  </r>
  <r>
    <x v="520"/>
    <x v="4"/>
    <x v="1"/>
    <n v="25.1"/>
    <x v="486"/>
    <x v="22"/>
    <d v="2025-01-24T00:00:00"/>
    <s v="M"/>
    <x v="0"/>
    <x v="1"/>
    <x v="0"/>
    <x v="2"/>
    <x v="3"/>
    <x v="3"/>
    <x v="1"/>
  </r>
  <r>
    <x v="521"/>
    <x v="7"/>
    <x v="2"/>
    <n v="65.599999999999994"/>
    <x v="487"/>
    <x v="22"/>
    <d v="2025-01-23T00:00:00"/>
    <s v="F"/>
    <x v="2"/>
    <x v="1"/>
    <x v="0"/>
    <x v="3"/>
    <x v="7"/>
    <x v="3"/>
    <x v="2"/>
  </r>
  <r>
    <x v="522"/>
    <x v="2"/>
    <x v="1"/>
    <n v="57.3"/>
    <x v="488"/>
    <x v="22"/>
    <d v="2025-01-23T00:00:00"/>
    <s v=""/>
    <x v="0"/>
    <x v="0"/>
    <x v="0"/>
    <x v="3"/>
    <x v="7"/>
    <x v="3"/>
    <x v="0"/>
  </r>
  <r>
    <x v="523"/>
    <x v="9"/>
    <x v="12"/>
    <n v="22.4"/>
    <x v="70"/>
    <x v="22"/>
    <d v="2025-01-24T00:00:00"/>
    <s v="F"/>
    <x v="2"/>
    <x v="2"/>
    <x v="0"/>
    <x v="3"/>
    <x v="3"/>
    <x v="3"/>
    <x v="2"/>
  </r>
  <r>
    <x v="524"/>
    <x v="12"/>
    <x v="11"/>
    <n v="45.7"/>
    <x v="489"/>
    <x v="22"/>
    <d v="2025-01-24T00:00:00"/>
    <s v="F"/>
    <x v="0"/>
    <x v="0"/>
    <x v="0"/>
    <x v="3"/>
    <x v="3"/>
    <x v="3"/>
    <x v="2"/>
  </r>
  <r>
    <x v="525"/>
    <x v="8"/>
    <x v="1"/>
    <n v="29.3"/>
    <x v="150"/>
    <x v="22"/>
    <d v="2025-01-24T00:00:00"/>
    <s v="M"/>
    <x v="1"/>
    <x v="0"/>
    <x v="0"/>
    <x v="3"/>
    <x v="3"/>
    <x v="3"/>
    <x v="1"/>
  </r>
  <r>
    <x v="526"/>
    <x v="18"/>
    <x v="32"/>
    <n v="74"/>
    <x v="490"/>
    <x v="22"/>
    <d v="2025-01-24T00:00:00"/>
    <s v="M"/>
    <x v="0"/>
    <x v="2"/>
    <x v="0"/>
    <x v="3"/>
    <x v="3"/>
    <x v="3"/>
    <x v="1"/>
  </r>
  <r>
    <x v="527"/>
    <x v="14"/>
    <x v="1"/>
    <n v="39.200000000000003"/>
    <x v="491"/>
    <x v="22"/>
    <d v="2025-01-25T00:00:00"/>
    <s v="F"/>
    <x v="1"/>
    <x v="0"/>
    <x v="0"/>
    <x v="3"/>
    <x v="1"/>
    <x v="3"/>
    <x v="2"/>
  </r>
  <r>
    <x v="528"/>
    <x v="4"/>
    <x v="14"/>
    <n v="62.7"/>
    <x v="492"/>
    <x v="22"/>
    <d v="2025-01-24T00:00:00"/>
    <s v="F"/>
    <x v="2"/>
    <x v="1"/>
    <x v="0"/>
    <x v="3"/>
    <x v="3"/>
    <x v="3"/>
    <x v="2"/>
  </r>
  <r>
    <x v="529"/>
    <x v="10"/>
    <x v="1"/>
    <n v="60.1"/>
    <x v="493"/>
    <x v="22"/>
    <d v="2025-01-24T00:00:00"/>
    <s v="F"/>
    <x v="3"/>
    <x v="0"/>
    <x v="0"/>
    <x v="3"/>
    <x v="3"/>
    <x v="3"/>
    <x v="2"/>
  </r>
  <r>
    <x v="530"/>
    <x v="0"/>
    <x v="12"/>
    <n v="11.2"/>
    <x v="438"/>
    <x v="22"/>
    <d v="2025-01-24T00:00:00"/>
    <s v="F"/>
    <x v="3"/>
    <x v="1"/>
    <x v="0"/>
    <x v="3"/>
    <x v="3"/>
    <x v="3"/>
    <x v="2"/>
  </r>
  <r>
    <x v="531"/>
    <x v="8"/>
    <x v="1"/>
    <n v="22.9"/>
    <x v="494"/>
    <x v="22"/>
    <d v="2025-01-24T00:00:00"/>
    <s v="F"/>
    <x v="0"/>
    <x v="0"/>
    <x v="0"/>
    <x v="6"/>
    <x v="3"/>
    <x v="3"/>
    <x v="2"/>
  </r>
  <r>
    <x v="532"/>
    <x v="1"/>
    <x v="1"/>
    <n v="37.6"/>
    <x v="495"/>
    <x v="22"/>
    <d v="2025-01-26T00:00:00"/>
    <s v="F"/>
    <x v="0"/>
    <x v="0"/>
    <x v="0"/>
    <x v="6"/>
    <x v="2"/>
    <x v="3"/>
    <x v="2"/>
  </r>
  <r>
    <x v="533"/>
    <x v="6"/>
    <x v="0"/>
    <n v="42.4"/>
    <x v="469"/>
    <x v="22"/>
    <d v="2025-01-24T00:00:00"/>
    <s v="F"/>
    <x v="3"/>
    <x v="2"/>
    <x v="0"/>
    <x v="6"/>
    <x v="3"/>
    <x v="3"/>
    <x v="2"/>
  </r>
  <r>
    <x v="534"/>
    <x v="8"/>
    <x v="1"/>
    <n v="19.600000000000001"/>
    <x v="496"/>
    <x v="22"/>
    <d v="2025-01-27T00:00:00"/>
    <s v="F"/>
    <x v="2"/>
    <x v="0"/>
    <x v="0"/>
    <x v="7"/>
    <x v="5"/>
    <x v="3"/>
    <x v="2"/>
  </r>
  <r>
    <x v="535"/>
    <x v="9"/>
    <x v="0"/>
    <n v="90.5"/>
    <x v="497"/>
    <x v="22"/>
    <d v="2025-01-26T00:00:00"/>
    <s v="F"/>
    <x v="2"/>
    <x v="0"/>
    <x v="0"/>
    <x v="7"/>
    <x v="2"/>
    <x v="3"/>
    <x v="2"/>
  </r>
  <r>
    <x v="536"/>
    <x v="16"/>
    <x v="5"/>
    <n v="33.9"/>
    <x v="498"/>
    <x v="22"/>
    <d v="2025-01-24T00:00:00"/>
    <s v="M"/>
    <x v="2"/>
    <x v="1"/>
    <x v="0"/>
    <x v="7"/>
    <x v="3"/>
    <x v="3"/>
    <x v="1"/>
  </r>
  <r>
    <x v="537"/>
    <x v="0"/>
    <x v="1"/>
    <n v="32.799999999999997"/>
    <x v="499"/>
    <x v="22"/>
    <d v="2025-01-25T00:00:00"/>
    <s v="F"/>
    <x v="4"/>
    <x v="4"/>
    <x v="0"/>
    <x v="8"/>
    <x v="1"/>
    <x v="3"/>
    <x v="2"/>
  </r>
  <r>
    <x v="538"/>
    <x v="15"/>
    <x v="0"/>
    <n v="49.9"/>
    <x v="500"/>
    <x v="22"/>
    <d v="2025-01-24T00:00:00"/>
    <s v="M"/>
    <x v="3"/>
    <x v="1"/>
    <x v="0"/>
    <x v="8"/>
    <x v="3"/>
    <x v="3"/>
    <x v="1"/>
  </r>
  <r>
    <x v="539"/>
    <x v="7"/>
    <x v="9"/>
    <n v="79.2"/>
    <x v="501"/>
    <x v="22"/>
    <d v="2025-01-24T00:00:00"/>
    <s v="F"/>
    <x v="4"/>
    <x v="0"/>
    <x v="0"/>
    <x v="8"/>
    <x v="3"/>
    <x v="3"/>
    <x v="2"/>
  </r>
  <r>
    <x v="540"/>
    <x v="8"/>
    <x v="27"/>
    <n v="19.5"/>
    <x v="502"/>
    <x v="22"/>
    <d v="2025-01-25T00:00:00"/>
    <s v="M"/>
    <x v="3"/>
    <x v="2"/>
    <x v="0"/>
    <x v="8"/>
    <x v="1"/>
    <x v="3"/>
    <x v="1"/>
  </r>
  <r>
    <x v="541"/>
    <x v="8"/>
    <x v="12"/>
    <n v="18"/>
    <x v="503"/>
    <x v="22"/>
    <d v="2025-01-24T00:00:00"/>
    <s v="M"/>
    <x v="1"/>
    <x v="0"/>
    <x v="0"/>
    <x v="10"/>
    <x v="3"/>
    <x v="3"/>
    <x v="1"/>
  </r>
  <r>
    <x v="542"/>
    <x v="9"/>
    <x v="2"/>
    <n v="45.9"/>
    <x v="223"/>
    <x v="22"/>
    <d v="2025-01-25T00:00:00"/>
    <s v="F"/>
    <x v="1"/>
    <x v="1"/>
    <x v="0"/>
    <x v="10"/>
    <x v="1"/>
    <x v="3"/>
    <x v="2"/>
  </r>
  <r>
    <x v="543"/>
    <x v="11"/>
    <x v="0"/>
    <n v="41.2"/>
    <x v="504"/>
    <x v="22"/>
    <d v="2025-01-25T00:00:00"/>
    <s v="F"/>
    <x v="1"/>
    <x v="2"/>
    <x v="0"/>
    <x v="11"/>
    <x v="1"/>
    <x v="3"/>
    <x v="2"/>
  </r>
  <r>
    <x v="544"/>
    <x v="2"/>
    <x v="7"/>
    <n v="167.2"/>
    <x v="505"/>
    <x v="22"/>
    <d v="2025-01-25T00:00:00"/>
    <s v="F"/>
    <x v="2"/>
    <x v="2"/>
    <x v="0"/>
    <x v="32"/>
    <x v="1"/>
    <x v="3"/>
    <x v="2"/>
  </r>
  <r>
    <x v="545"/>
    <x v="6"/>
    <x v="17"/>
    <n v="74.5"/>
    <x v="506"/>
    <x v="23"/>
    <d v="2025-01-27T00:00:00"/>
    <s v="F"/>
    <x v="1"/>
    <x v="2"/>
    <x v="0"/>
    <x v="38"/>
    <x v="2"/>
    <x v="3"/>
    <x v="2"/>
  </r>
  <r>
    <x v="546"/>
    <x v="7"/>
    <x v="12"/>
    <n v="39.299999999999997"/>
    <x v="507"/>
    <x v="23"/>
    <d v="2025-01-25T00:00:00"/>
    <s v=""/>
    <x v="2"/>
    <x v="0"/>
    <x v="0"/>
    <x v="19"/>
    <x v="3"/>
    <x v="3"/>
    <x v="0"/>
  </r>
  <r>
    <x v="547"/>
    <x v="9"/>
    <x v="0"/>
    <n v="68.5"/>
    <x v="508"/>
    <x v="23"/>
    <d v="2025-01-27T00:00:00"/>
    <s v="M"/>
    <x v="1"/>
    <x v="2"/>
    <x v="0"/>
    <x v="12"/>
    <x v="2"/>
    <x v="3"/>
    <x v="1"/>
  </r>
  <r>
    <x v="548"/>
    <x v="0"/>
    <x v="2"/>
    <n v="22.5"/>
    <x v="509"/>
    <x v="23"/>
    <d v="2025-01-24T00:00:00"/>
    <s v="F"/>
    <x v="4"/>
    <x v="0"/>
    <x v="0"/>
    <x v="13"/>
    <x v="7"/>
    <x v="3"/>
    <x v="2"/>
  </r>
  <r>
    <x v="549"/>
    <x v="1"/>
    <x v="0"/>
    <n v="48"/>
    <x v="510"/>
    <x v="23"/>
    <d v="2025-01-25T00:00:00"/>
    <s v="O"/>
    <x v="4"/>
    <x v="1"/>
    <x v="0"/>
    <x v="46"/>
    <x v="3"/>
    <x v="3"/>
    <x v="3"/>
  </r>
  <r>
    <x v="550"/>
    <x v="6"/>
    <x v="0"/>
    <n v="94"/>
    <x v="255"/>
    <x v="23"/>
    <d v="2025-01-25T00:00:00"/>
    <s v="M"/>
    <x v="3"/>
    <x v="1"/>
    <x v="0"/>
    <x v="1"/>
    <x v="3"/>
    <x v="3"/>
    <x v="1"/>
  </r>
  <r>
    <x v="551"/>
    <x v="8"/>
    <x v="2"/>
    <n v="21.9"/>
    <x v="511"/>
    <x v="23"/>
    <d v="2025-01-25T00:00:00"/>
    <s v="F"/>
    <x v="0"/>
    <x v="0"/>
    <x v="0"/>
    <x v="44"/>
    <x v="3"/>
    <x v="3"/>
    <x v="2"/>
  </r>
  <r>
    <x v="552"/>
    <x v="6"/>
    <x v="3"/>
    <n v="64.900000000000006"/>
    <x v="512"/>
    <x v="23"/>
    <d v="2025-01-25T00:00:00"/>
    <s v="F"/>
    <x v="0"/>
    <x v="0"/>
    <x v="0"/>
    <x v="3"/>
    <x v="3"/>
    <x v="3"/>
    <x v="2"/>
  </r>
  <r>
    <x v="553"/>
    <x v="12"/>
    <x v="0"/>
    <n v="52.9"/>
    <x v="513"/>
    <x v="23"/>
    <d v="2025-01-24T00:00:00"/>
    <s v="F"/>
    <x v="1"/>
    <x v="1"/>
    <x v="0"/>
    <x v="3"/>
    <x v="7"/>
    <x v="3"/>
    <x v="2"/>
  </r>
  <r>
    <x v="554"/>
    <x v="8"/>
    <x v="2"/>
    <n v="25.5"/>
    <x v="514"/>
    <x v="23"/>
    <d v="2025-01-25T00:00:00"/>
    <s v="F"/>
    <x v="1"/>
    <x v="2"/>
    <x v="0"/>
    <x v="3"/>
    <x v="3"/>
    <x v="3"/>
    <x v="2"/>
  </r>
  <r>
    <x v="555"/>
    <x v="6"/>
    <x v="2"/>
    <n v="51.9"/>
    <x v="515"/>
    <x v="23"/>
    <d v="2025-01-25T00:00:00"/>
    <s v="F"/>
    <x v="3"/>
    <x v="0"/>
    <x v="0"/>
    <x v="3"/>
    <x v="3"/>
    <x v="3"/>
    <x v="2"/>
  </r>
  <r>
    <x v="556"/>
    <x v="5"/>
    <x v="0"/>
    <n v="46.3"/>
    <x v="516"/>
    <x v="23"/>
    <d v="2025-01-27T00:00:00"/>
    <s v="F"/>
    <x v="4"/>
    <x v="0"/>
    <x v="0"/>
    <x v="3"/>
    <x v="2"/>
    <x v="3"/>
    <x v="2"/>
  </r>
  <r>
    <x v="557"/>
    <x v="6"/>
    <x v="1"/>
    <n v="68.2"/>
    <x v="517"/>
    <x v="23"/>
    <d v="2025-01-26T00:00:00"/>
    <s v="F"/>
    <x v="3"/>
    <x v="0"/>
    <x v="0"/>
    <x v="3"/>
    <x v="1"/>
    <x v="3"/>
    <x v="2"/>
  </r>
  <r>
    <x v="558"/>
    <x v="1"/>
    <x v="0"/>
    <n v="40.299999999999997"/>
    <x v="518"/>
    <x v="23"/>
    <d v="2025-01-25T00:00:00"/>
    <s v="M"/>
    <x v="0"/>
    <x v="1"/>
    <x v="0"/>
    <x v="3"/>
    <x v="3"/>
    <x v="3"/>
    <x v="1"/>
  </r>
  <r>
    <x v="559"/>
    <x v="2"/>
    <x v="2"/>
    <n v="91.3"/>
    <x v="54"/>
    <x v="23"/>
    <d v="2025-01-29T00:00:00"/>
    <s v="M"/>
    <x v="0"/>
    <x v="2"/>
    <x v="0"/>
    <x v="6"/>
    <x v="0"/>
    <x v="3"/>
    <x v="1"/>
  </r>
  <r>
    <x v="560"/>
    <x v="0"/>
    <x v="2"/>
    <n v="11.9"/>
    <x v="519"/>
    <x v="23"/>
    <d v="2025-01-25T00:00:00"/>
    <s v="F"/>
    <x v="0"/>
    <x v="1"/>
    <x v="0"/>
    <x v="6"/>
    <x v="3"/>
    <x v="3"/>
    <x v="2"/>
  </r>
  <r>
    <x v="561"/>
    <x v="2"/>
    <x v="1"/>
    <n v="63.5"/>
    <x v="520"/>
    <x v="23"/>
    <d v="2025-01-26T00:00:00"/>
    <s v="M"/>
    <x v="1"/>
    <x v="0"/>
    <x v="0"/>
    <x v="6"/>
    <x v="1"/>
    <x v="3"/>
    <x v="1"/>
  </r>
  <r>
    <x v="562"/>
    <x v="4"/>
    <x v="1"/>
    <n v="27.1"/>
    <x v="521"/>
    <x v="23"/>
    <d v="2025-01-27T00:00:00"/>
    <s v="M"/>
    <x v="2"/>
    <x v="2"/>
    <x v="0"/>
    <x v="6"/>
    <x v="2"/>
    <x v="3"/>
    <x v="1"/>
  </r>
  <r>
    <x v="563"/>
    <x v="1"/>
    <x v="1"/>
    <n v="82.1"/>
    <x v="522"/>
    <x v="24"/>
    <d v="2025-01-28T00:00:00"/>
    <s v="M"/>
    <x v="1"/>
    <x v="1"/>
    <x v="0"/>
    <x v="7"/>
    <x v="2"/>
    <x v="3"/>
    <x v="1"/>
  </r>
  <r>
    <x v="564"/>
    <x v="3"/>
    <x v="9"/>
    <n v="42.9"/>
    <x v="523"/>
    <x v="24"/>
    <d v="2025-01-27T00:00:00"/>
    <s v="F"/>
    <x v="1"/>
    <x v="0"/>
    <x v="0"/>
    <x v="8"/>
    <x v="1"/>
    <x v="3"/>
    <x v="2"/>
  </r>
  <r>
    <x v="565"/>
    <x v="8"/>
    <x v="5"/>
    <n v="37.9"/>
    <x v="524"/>
    <x v="24"/>
    <d v="2025-02-01T00:00:00"/>
    <s v="M"/>
    <x v="0"/>
    <x v="0"/>
    <x v="0"/>
    <x v="8"/>
    <x v="6"/>
    <x v="3"/>
    <x v="1"/>
  </r>
  <r>
    <x v="566"/>
    <x v="0"/>
    <x v="0"/>
    <n v="22.4"/>
    <x v="525"/>
    <x v="24"/>
    <d v="2025-01-26T00:00:00"/>
    <s v="F"/>
    <x v="0"/>
    <x v="1"/>
    <x v="0"/>
    <x v="17"/>
    <x v="3"/>
    <x v="3"/>
    <x v="2"/>
  </r>
  <r>
    <x v="567"/>
    <x v="2"/>
    <x v="15"/>
    <n v="79.900000000000006"/>
    <x v="526"/>
    <x v="24"/>
    <d v="2025-02-07T00:00:00"/>
    <s v="F"/>
    <x v="3"/>
    <x v="1"/>
    <x v="0"/>
    <x v="11"/>
    <x v="10"/>
    <x v="3"/>
    <x v="2"/>
  </r>
  <r>
    <x v="568"/>
    <x v="1"/>
    <x v="0"/>
    <n v="70.599999999999994"/>
    <x v="527"/>
    <x v="24"/>
    <d v="2025-01-28T00:00:00"/>
    <s v="F"/>
    <x v="0"/>
    <x v="1"/>
    <x v="0"/>
    <x v="11"/>
    <x v="2"/>
    <x v="3"/>
    <x v="2"/>
  </r>
  <r>
    <x v="569"/>
    <x v="6"/>
    <x v="0"/>
    <n v="49.5"/>
    <x v="528"/>
    <x v="24"/>
    <d v="2025-01-27T00:00:00"/>
    <s v="M"/>
    <x v="0"/>
    <x v="0"/>
    <x v="0"/>
    <x v="13"/>
    <x v="1"/>
    <x v="3"/>
    <x v="1"/>
  </r>
  <r>
    <x v="570"/>
    <x v="2"/>
    <x v="1"/>
    <n v="96.6"/>
    <x v="529"/>
    <x v="24"/>
    <d v="2025-01-27T00:00:00"/>
    <s v="M"/>
    <x v="0"/>
    <x v="0"/>
    <x v="0"/>
    <x v="21"/>
    <x v="1"/>
    <x v="3"/>
    <x v="1"/>
  </r>
  <r>
    <x v="571"/>
    <x v="6"/>
    <x v="1"/>
    <n v="52.8"/>
    <x v="142"/>
    <x v="24"/>
    <d v="2025-01-26T00:00:00"/>
    <s v="F"/>
    <x v="1"/>
    <x v="1"/>
    <x v="0"/>
    <x v="21"/>
    <x v="3"/>
    <x v="3"/>
    <x v="2"/>
  </r>
  <r>
    <x v="572"/>
    <x v="2"/>
    <x v="0"/>
    <n v="101.7"/>
    <x v="530"/>
    <x v="24"/>
    <d v="2025-01-26T00:00:00"/>
    <s v="M"/>
    <x v="0"/>
    <x v="0"/>
    <x v="0"/>
    <x v="1"/>
    <x v="3"/>
    <x v="3"/>
    <x v="1"/>
  </r>
  <r>
    <x v="573"/>
    <x v="4"/>
    <x v="9"/>
    <n v="26.9"/>
    <x v="531"/>
    <x v="24"/>
    <d v="2025-01-30T00:00:00"/>
    <s v="F"/>
    <x v="1"/>
    <x v="1"/>
    <x v="0"/>
    <x v="22"/>
    <x v="0"/>
    <x v="3"/>
    <x v="2"/>
  </r>
  <r>
    <x v="574"/>
    <x v="2"/>
    <x v="12"/>
    <n v="211"/>
    <x v="532"/>
    <x v="24"/>
    <d v="2025-01-25T00:00:00"/>
    <s v="F"/>
    <x v="1"/>
    <x v="1"/>
    <x v="0"/>
    <x v="3"/>
    <x v="7"/>
    <x v="3"/>
    <x v="2"/>
  </r>
  <r>
    <x v="575"/>
    <x v="0"/>
    <x v="12"/>
    <n v="21.1"/>
    <x v="533"/>
    <x v="24"/>
    <d v="2025-01-28T00:00:00"/>
    <s v="M"/>
    <x v="4"/>
    <x v="0"/>
    <x v="0"/>
    <x v="3"/>
    <x v="2"/>
    <x v="3"/>
    <x v="1"/>
  </r>
  <r>
    <x v="576"/>
    <x v="10"/>
    <x v="0"/>
    <n v="26.6"/>
    <x v="534"/>
    <x v="24"/>
    <d v="2025-01-27T00:00:00"/>
    <s v="M"/>
    <x v="0"/>
    <x v="4"/>
    <x v="0"/>
    <x v="3"/>
    <x v="1"/>
    <x v="3"/>
    <x v="1"/>
  </r>
  <r>
    <x v="577"/>
    <x v="12"/>
    <x v="12"/>
    <n v="51.2"/>
    <x v="403"/>
    <x v="24"/>
    <d v="2025-01-26T00:00:00"/>
    <s v="F"/>
    <x v="3"/>
    <x v="0"/>
    <x v="0"/>
    <x v="47"/>
    <x v="3"/>
    <x v="3"/>
    <x v="2"/>
  </r>
  <r>
    <x v="578"/>
    <x v="0"/>
    <x v="9"/>
    <n v="10.6"/>
    <x v="535"/>
    <x v="24"/>
    <d v="2025-01-29T00:00:00"/>
    <s v="F"/>
    <x v="0"/>
    <x v="0"/>
    <x v="0"/>
    <x v="8"/>
    <x v="5"/>
    <x v="3"/>
    <x v="2"/>
  </r>
  <r>
    <x v="579"/>
    <x v="6"/>
    <x v="2"/>
    <n v="43.4"/>
    <x v="33"/>
    <x v="24"/>
    <d v="2025-01-28T00:00:00"/>
    <s v="F"/>
    <x v="4"/>
    <x v="0"/>
    <x v="0"/>
    <x v="8"/>
    <x v="2"/>
    <x v="3"/>
    <x v="2"/>
  </r>
  <r>
    <x v="580"/>
    <x v="12"/>
    <x v="0"/>
    <n v="80"/>
    <x v="479"/>
    <x v="24"/>
    <d v="2025-01-25T00:00:00"/>
    <s v="F"/>
    <x v="0"/>
    <x v="2"/>
    <x v="0"/>
    <x v="8"/>
    <x v="7"/>
    <x v="3"/>
    <x v="2"/>
  </r>
  <r>
    <x v="581"/>
    <x v="10"/>
    <x v="12"/>
    <n v="64.7"/>
    <x v="536"/>
    <x v="24"/>
    <d v="2025-01-27T00:00:00"/>
    <s v="F"/>
    <x v="1"/>
    <x v="4"/>
    <x v="0"/>
    <x v="8"/>
    <x v="1"/>
    <x v="3"/>
    <x v="2"/>
  </r>
  <r>
    <x v="582"/>
    <x v="8"/>
    <x v="5"/>
    <n v="26.3"/>
    <x v="537"/>
    <x v="25"/>
    <d v="2025-01-26T00:00:00"/>
    <s v="F"/>
    <x v="4"/>
    <x v="1"/>
    <x v="0"/>
    <x v="26"/>
    <x v="7"/>
    <x v="4"/>
    <x v="2"/>
  </r>
  <r>
    <x v="583"/>
    <x v="10"/>
    <x v="0"/>
    <n v="28.5"/>
    <x v="425"/>
    <x v="25"/>
    <d v="2025-01-26T00:00:00"/>
    <s v="M"/>
    <x v="0"/>
    <x v="1"/>
    <x v="0"/>
    <x v="9"/>
    <x v="7"/>
    <x v="4"/>
    <x v="1"/>
  </r>
  <r>
    <x v="584"/>
    <x v="17"/>
    <x v="0"/>
    <n v="47.8"/>
    <x v="538"/>
    <x v="25"/>
    <d v="2025-01-28T00:00:00"/>
    <s v="F"/>
    <x v="0"/>
    <x v="1"/>
    <x v="0"/>
    <x v="9"/>
    <x v="1"/>
    <x v="4"/>
    <x v="2"/>
  </r>
  <r>
    <x v="585"/>
    <x v="10"/>
    <x v="2"/>
    <n v="42.8"/>
    <x v="539"/>
    <x v="25"/>
    <d v="2025-01-29T00:00:00"/>
    <s v="F"/>
    <x v="4"/>
    <x v="1"/>
    <x v="0"/>
    <x v="11"/>
    <x v="2"/>
    <x v="4"/>
    <x v="2"/>
  </r>
  <r>
    <x v="586"/>
    <x v="6"/>
    <x v="9"/>
    <n v="46.8"/>
    <x v="540"/>
    <x v="25"/>
    <d v="2025-01-31T00:00:00"/>
    <s v="F"/>
    <x v="1"/>
    <x v="2"/>
    <x v="0"/>
    <x v="11"/>
    <x v="0"/>
    <x v="4"/>
    <x v="2"/>
  </r>
  <r>
    <x v="587"/>
    <x v="1"/>
    <x v="7"/>
    <n v="64.099999999999994"/>
    <x v="541"/>
    <x v="25"/>
    <d v="2025-01-27T00:00:00"/>
    <s v="M"/>
    <x v="1"/>
    <x v="0"/>
    <x v="0"/>
    <x v="11"/>
    <x v="3"/>
    <x v="4"/>
    <x v="1"/>
  </r>
  <r>
    <x v="588"/>
    <x v="2"/>
    <x v="0"/>
    <n v="89.1"/>
    <x v="542"/>
    <x v="25"/>
    <d v="2025-01-27T00:00:00"/>
    <s v="F"/>
    <x v="0"/>
    <x v="1"/>
    <x v="0"/>
    <x v="20"/>
    <x v="3"/>
    <x v="4"/>
    <x v="2"/>
  </r>
  <r>
    <x v="589"/>
    <x v="2"/>
    <x v="2"/>
    <n v="83.1"/>
    <x v="543"/>
    <x v="25"/>
    <d v="2025-01-27T00:00:00"/>
    <s v="F"/>
    <x v="2"/>
    <x v="1"/>
    <x v="0"/>
    <x v="13"/>
    <x v="3"/>
    <x v="4"/>
    <x v="2"/>
  </r>
  <r>
    <x v="590"/>
    <x v="8"/>
    <x v="2"/>
    <n v="40.9"/>
    <x v="544"/>
    <x v="25"/>
    <d v="2025-01-27T00:00:00"/>
    <s v="M"/>
    <x v="0"/>
    <x v="0"/>
    <x v="0"/>
    <x v="1"/>
    <x v="3"/>
    <x v="4"/>
    <x v="1"/>
  </r>
  <r>
    <x v="591"/>
    <x v="2"/>
    <x v="1"/>
    <n v="125.7"/>
    <x v="545"/>
    <x v="25"/>
    <d v="2025-01-27T00:00:00"/>
    <s v="F"/>
    <x v="3"/>
    <x v="0"/>
    <x v="0"/>
    <x v="2"/>
    <x v="3"/>
    <x v="4"/>
    <x v="2"/>
  </r>
  <r>
    <x v="592"/>
    <x v="3"/>
    <x v="1"/>
    <n v="30.9"/>
    <x v="546"/>
    <x v="25"/>
    <d v="2025-01-26T00:00:00"/>
    <s v="F"/>
    <x v="2"/>
    <x v="2"/>
    <x v="0"/>
    <x v="22"/>
    <x v="7"/>
    <x v="4"/>
    <x v="2"/>
  </r>
  <r>
    <x v="593"/>
    <x v="8"/>
    <x v="1"/>
    <n v="18.3"/>
    <x v="547"/>
    <x v="25"/>
    <d v="2025-01-27T00:00:00"/>
    <s v="F"/>
    <x v="1"/>
    <x v="0"/>
    <x v="0"/>
    <x v="3"/>
    <x v="3"/>
    <x v="4"/>
    <x v="2"/>
  </r>
  <r>
    <x v="594"/>
    <x v="4"/>
    <x v="1"/>
    <n v="56.5"/>
    <x v="548"/>
    <x v="25"/>
    <d v="2025-01-30T00:00:00"/>
    <s v="M"/>
    <x v="2"/>
    <x v="2"/>
    <x v="0"/>
    <x v="3"/>
    <x v="5"/>
    <x v="4"/>
    <x v="1"/>
  </r>
  <r>
    <x v="595"/>
    <x v="10"/>
    <x v="3"/>
    <n v="29.9"/>
    <x v="549"/>
    <x v="25"/>
    <d v="2025-01-28T00:00:00"/>
    <s v="M"/>
    <x v="4"/>
    <x v="2"/>
    <x v="0"/>
    <x v="3"/>
    <x v="1"/>
    <x v="4"/>
    <x v="1"/>
  </r>
  <r>
    <x v="596"/>
    <x v="5"/>
    <x v="1"/>
    <n v="50.4"/>
    <x v="90"/>
    <x v="25"/>
    <d v="2025-01-27T00:00:00"/>
    <s v="F"/>
    <x v="2"/>
    <x v="0"/>
    <x v="0"/>
    <x v="3"/>
    <x v="3"/>
    <x v="4"/>
    <x v="2"/>
  </r>
  <r>
    <x v="597"/>
    <x v="2"/>
    <x v="0"/>
    <n v="85.8"/>
    <x v="550"/>
    <x v="25"/>
    <d v="2025-01-26T00:00:00"/>
    <s v="F"/>
    <x v="2"/>
    <x v="2"/>
    <x v="0"/>
    <x v="3"/>
    <x v="7"/>
    <x v="4"/>
    <x v="2"/>
  </r>
  <r>
    <x v="598"/>
    <x v="4"/>
    <x v="27"/>
    <n v="66.599999999999994"/>
    <x v="551"/>
    <x v="25"/>
    <d v="2025-01-28T00:00:00"/>
    <s v="M"/>
    <x v="1"/>
    <x v="0"/>
    <x v="0"/>
    <x v="3"/>
    <x v="1"/>
    <x v="4"/>
    <x v="1"/>
  </r>
  <r>
    <x v="599"/>
    <x v="6"/>
    <x v="12"/>
    <n v="70.3"/>
    <x v="552"/>
    <x v="25"/>
    <d v="2025-01-27T00:00:00"/>
    <s v="F"/>
    <x v="0"/>
    <x v="1"/>
    <x v="0"/>
    <x v="3"/>
    <x v="3"/>
    <x v="4"/>
    <x v="2"/>
  </r>
  <r>
    <x v="600"/>
    <x v="8"/>
    <x v="12"/>
    <n v="31"/>
    <x v="553"/>
    <x v="25"/>
    <d v="2025-01-29T00:00:00"/>
    <s v="M"/>
    <x v="0"/>
    <x v="2"/>
    <x v="0"/>
    <x v="3"/>
    <x v="2"/>
    <x v="4"/>
    <x v="1"/>
  </r>
  <r>
    <x v="601"/>
    <x v="7"/>
    <x v="13"/>
    <n v="81.599999999999994"/>
    <x v="554"/>
    <x v="25"/>
    <d v="2025-01-27T00:00:00"/>
    <s v="F"/>
    <x v="1"/>
    <x v="1"/>
    <x v="0"/>
    <x v="37"/>
    <x v="3"/>
    <x v="4"/>
    <x v="2"/>
  </r>
  <r>
    <x v="602"/>
    <x v="1"/>
    <x v="30"/>
    <n v="58.3"/>
    <x v="555"/>
    <x v="25"/>
    <d v="2025-01-27T00:00:00"/>
    <s v="F"/>
    <x v="0"/>
    <x v="0"/>
    <x v="0"/>
    <x v="16"/>
    <x v="3"/>
    <x v="4"/>
    <x v="2"/>
  </r>
  <r>
    <x v="603"/>
    <x v="1"/>
    <x v="12"/>
    <n v="35.1"/>
    <x v="381"/>
    <x v="25"/>
    <d v="2025-01-28T00:00:00"/>
    <s v="M"/>
    <x v="0"/>
    <x v="2"/>
    <x v="0"/>
    <x v="8"/>
    <x v="1"/>
    <x v="4"/>
    <x v="1"/>
  </r>
  <r>
    <x v="604"/>
    <x v="2"/>
    <x v="0"/>
    <n v="80.2"/>
    <x v="556"/>
    <x v="25"/>
    <d v="2025-01-27T00:00:00"/>
    <s v="M"/>
    <x v="3"/>
    <x v="2"/>
    <x v="0"/>
    <x v="8"/>
    <x v="3"/>
    <x v="4"/>
    <x v="1"/>
  </r>
  <r>
    <x v="605"/>
    <x v="14"/>
    <x v="2"/>
    <n v="39.200000000000003"/>
    <x v="557"/>
    <x v="25"/>
    <d v="2025-01-28T00:00:00"/>
    <s v="F"/>
    <x v="1"/>
    <x v="0"/>
    <x v="0"/>
    <x v="9"/>
    <x v="1"/>
    <x v="4"/>
    <x v="2"/>
  </r>
  <r>
    <x v="606"/>
    <x v="0"/>
    <x v="1"/>
    <n v="15.4"/>
    <x v="558"/>
    <x v="25"/>
    <d v="2025-01-26T00:00:00"/>
    <s v="F"/>
    <x v="3"/>
    <x v="0"/>
    <x v="0"/>
    <x v="48"/>
    <x v="7"/>
    <x v="4"/>
    <x v="2"/>
  </r>
  <r>
    <x v="607"/>
    <x v="3"/>
    <x v="2"/>
    <n v="65.400000000000006"/>
    <x v="338"/>
    <x v="25"/>
    <d v="2025-01-29T00:00:00"/>
    <s v="M"/>
    <x v="3"/>
    <x v="0"/>
    <x v="0"/>
    <x v="18"/>
    <x v="2"/>
    <x v="4"/>
    <x v="1"/>
  </r>
  <r>
    <x v="608"/>
    <x v="1"/>
    <x v="8"/>
    <n v="63.2"/>
    <x v="559"/>
    <x v="25"/>
    <d v="2025-01-28T00:00:00"/>
    <s v="F"/>
    <x v="1"/>
    <x v="0"/>
    <x v="0"/>
    <x v="19"/>
    <x v="1"/>
    <x v="4"/>
    <x v="2"/>
  </r>
  <r>
    <x v="609"/>
    <x v="1"/>
    <x v="13"/>
    <n v="35.700000000000003"/>
    <x v="560"/>
    <x v="25"/>
    <d v="2025-01-30T00:00:00"/>
    <s v="F"/>
    <x v="4"/>
    <x v="1"/>
    <x v="0"/>
    <x v="19"/>
    <x v="5"/>
    <x v="4"/>
    <x v="2"/>
  </r>
  <r>
    <x v="610"/>
    <x v="0"/>
    <x v="28"/>
    <n v="26.2"/>
    <x v="561"/>
    <x v="25"/>
    <d v="2025-01-27T00:00:00"/>
    <s v="F"/>
    <x v="3"/>
    <x v="0"/>
    <x v="0"/>
    <x v="21"/>
    <x v="3"/>
    <x v="4"/>
    <x v="2"/>
  </r>
  <r>
    <x v="611"/>
    <x v="7"/>
    <x v="1"/>
    <n v="31"/>
    <x v="85"/>
    <x v="25"/>
    <d v="2025-01-27T00:00:00"/>
    <s v="F"/>
    <x v="0"/>
    <x v="2"/>
    <x v="0"/>
    <x v="1"/>
    <x v="3"/>
    <x v="4"/>
    <x v="2"/>
  </r>
  <r>
    <x v="612"/>
    <x v="8"/>
    <x v="12"/>
    <n v="37.700000000000003"/>
    <x v="562"/>
    <x v="25"/>
    <d v="2025-01-27T00:00:00"/>
    <s v="F"/>
    <x v="1"/>
    <x v="0"/>
    <x v="0"/>
    <x v="22"/>
    <x v="3"/>
    <x v="4"/>
    <x v="2"/>
  </r>
  <r>
    <x v="613"/>
    <x v="10"/>
    <x v="33"/>
    <n v="43.6"/>
    <x v="563"/>
    <x v="25"/>
    <d v="2025-01-28T00:00:00"/>
    <s v="F"/>
    <x v="4"/>
    <x v="1"/>
    <x v="0"/>
    <x v="3"/>
    <x v="1"/>
    <x v="4"/>
    <x v="2"/>
  </r>
  <r>
    <x v="614"/>
    <x v="9"/>
    <x v="12"/>
    <n v="26.5"/>
    <x v="101"/>
    <x v="25"/>
    <d v="2025-01-28T00:00:00"/>
    <s v="M"/>
    <x v="0"/>
    <x v="4"/>
    <x v="0"/>
    <x v="3"/>
    <x v="1"/>
    <x v="4"/>
    <x v="1"/>
  </r>
  <r>
    <x v="615"/>
    <x v="0"/>
    <x v="1"/>
    <n v="34.6"/>
    <x v="564"/>
    <x v="25"/>
    <d v="2025-01-27T00:00:00"/>
    <s v="M"/>
    <x v="4"/>
    <x v="1"/>
    <x v="0"/>
    <x v="3"/>
    <x v="3"/>
    <x v="4"/>
    <x v="1"/>
  </r>
  <r>
    <x v="616"/>
    <x v="8"/>
    <x v="1"/>
    <n v="58.2"/>
    <x v="565"/>
    <x v="25"/>
    <d v="2025-01-27T00:00:00"/>
    <s v="M"/>
    <x v="2"/>
    <x v="2"/>
    <x v="0"/>
    <x v="3"/>
    <x v="3"/>
    <x v="4"/>
    <x v="1"/>
  </r>
  <r>
    <x v="617"/>
    <x v="7"/>
    <x v="0"/>
    <n v="30.2"/>
    <x v="242"/>
    <x v="26"/>
    <d v="2025-01-28T00:00:00"/>
    <s v="F"/>
    <x v="2"/>
    <x v="1"/>
    <x v="0"/>
    <x v="3"/>
    <x v="3"/>
    <x v="4"/>
    <x v="2"/>
  </r>
  <r>
    <x v="618"/>
    <x v="1"/>
    <x v="7"/>
    <n v="53.2"/>
    <x v="566"/>
    <x v="26"/>
    <d v="2025-01-28T00:00:00"/>
    <s v="M"/>
    <x v="0"/>
    <x v="2"/>
    <x v="0"/>
    <x v="5"/>
    <x v="3"/>
    <x v="4"/>
    <x v="1"/>
  </r>
  <r>
    <x v="619"/>
    <x v="12"/>
    <x v="13"/>
    <n v="51.1"/>
    <x v="567"/>
    <x v="26"/>
    <d v="2025-01-27T00:00:00"/>
    <s v="M"/>
    <x v="1"/>
    <x v="2"/>
    <x v="0"/>
    <x v="5"/>
    <x v="7"/>
    <x v="4"/>
    <x v="1"/>
  </r>
  <r>
    <x v="620"/>
    <x v="1"/>
    <x v="0"/>
    <n v="105.4"/>
    <x v="568"/>
    <x v="26"/>
    <d v="2025-01-31T00:00:00"/>
    <s v="F"/>
    <x v="1"/>
    <x v="2"/>
    <x v="0"/>
    <x v="23"/>
    <x v="5"/>
    <x v="4"/>
    <x v="2"/>
  </r>
  <r>
    <x v="621"/>
    <x v="7"/>
    <x v="0"/>
    <n v="57.7"/>
    <x v="569"/>
    <x v="26"/>
    <d v="2025-01-27T00:00:00"/>
    <s v="M"/>
    <x v="0"/>
    <x v="4"/>
    <x v="0"/>
    <x v="8"/>
    <x v="7"/>
    <x v="4"/>
    <x v="1"/>
  </r>
  <r>
    <x v="622"/>
    <x v="15"/>
    <x v="1"/>
    <n v="72.400000000000006"/>
    <x v="353"/>
    <x v="26"/>
    <d v="2025-02-01T00:00:00"/>
    <s v="F"/>
    <x v="0"/>
    <x v="0"/>
    <x v="0"/>
    <x v="17"/>
    <x v="0"/>
    <x v="4"/>
    <x v="2"/>
  </r>
  <r>
    <x v="623"/>
    <x v="6"/>
    <x v="1"/>
    <n v="62.5"/>
    <x v="570"/>
    <x v="26"/>
    <d v="2025-01-28T00:00:00"/>
    <s v=""/>
    <x v="0"/>
    <x v="2"/>
    <x v="0"/>
    <x v="11"/>
    <x v="3"/>
    <x v="4"/>
    <x v="0"/>
  </r>
  <r>
    <x v="624"/>
    <x v="0"/>
    <x v="32"/>
    <n v="11.6"/>
    <x v="281"/>
    <x v="26"/>
    <d v="2025-01-29T00:00:00"/>
    <s v="F"/>
    <x v="3"/>
    <x v="2"/>
    <x v="0"/>
    <x v="18"/>
    <x v="1"/>
    <x v="4"/>
    <x v="2"/>
  </r>
  <r>
    <x v="625"/>
    <x v="10"/>
    <x v="7"/>
    <n v="39.6"/>
    <x v="501"/>
    <x v="26"/>
    <d v="2025-01-29T00:00:00"/>
    <s v="F"/>
    <x v="2"/>
    <x v="2"/>
    <x v="0"/>
    <x v="18"/>
    <x v="1"/>
    <x v="4"/>
    <x v="2"/>
  </r>
  <r>
    <x v="626"/>
    <x v="8"/>
    <x v="1"/>
    <n v="40.1"/>
    <x v="556"/>
    <x v="26"/>
    <d v="2025-01-28T00:00:00"/>
    <s v="F"/>
    <x v="2"/>
    <x v="0"/>
    <x v="0"/>
    <x v="18"/>
    <x v="3"/>
    <x v="4"/>
    <x v="2"/>
  </r>
  <r>
    <x v="627"/>
    <x v="8"/>
    <x v="2"/>
    <n v="18.600000000000001"/>
    <x v="571"/>
    <x v="26"/>
    <d v="2025-01-28T00:00:00"/>
    <s v="F"/>
    <x v="2"/>
    <x v="0"/>
    <x v="0"/>
    <x v="21"/>
    <x v="3"/>
    <x v="4"/>
    <x v="2"/>
  </r>
  <r>
    <x v="628"/>
    <x v="4"/>
    <x v="0"/>
    <n v="58.8"/>
    <x v="572"/>
    <x v="26"/>
    <d v="2025-01-29T00:00:00"/>
    <s v="F"/>
    <x v="0"/>
    <x v="1"/>
    <x v="0"/>
    <x v="21"/>
    <x v="1"/>
    <x v="4"/>
    <x v="2"/>
  </r>
  <r>
    <x v="629"/>
    <x v="8"/>
    <x v="1"/>
    <n v="22.1"/>
    <x v="573"/>
    <x v="26"/>
    <d v="2025-01-30T00:00:00"/>
    <s v="M"/>
    <x v="1"/>
    <x v="2"/>
    <x v="0"/>
    <x v="21"/>
    <x v="2"/>
    <x v="4"/>
    <x v="1"/>
  </r>
  <r>
    <x v="630"/>
    <x v="2"/>
    <x v="0"/>
    <n v="114.9"/>
    <x v="574"/>
    <x v="27"/>
    <d v="2025-01-29T00:00:00"/>
    <s v="F"/>
    <x v="1"/>
    <x v="1"/>
    <x v="0"/>
    <x v="22"/>
    <x v="3"/>
    <x v="4"/>
    <x v="2"/>
  </r>
  <r>
    <x v="631"/>
    <x v="9"/>
    <x v="9"/>
    <n v="75.8"/>
    <x v="575"/>
    <x v="27"/>
    <d v="2025-01-29T00:00:00"/>
    <s v="M"/>
    <x v="0"/>
    <x v="2"/>
    <x v="0"/>
    <x v="3"/>
    <x v="3"/>
    <x v="4"/>
    <x v="1"/>
  </r>
  <r>
    <x v="632"/>
    <x v="14"/>
    <x v="9"/>
    <n v="20.6"/>
    <x v="576"/>
    <x v="27"/>
    <d v="2025-01-29T00:00:00"/>
    <s v="M"/>
    <x v="2"/>
    <x v="2"/>
    <x v="0"/>
    <x v="3"/>
    <x v="3"/>
    <x v="4"/>
    <x v="1"/>
  </r>
  <r>
    <x v="633"/>
    <x v="17"/>
    <x v="2"/>
    <n v="67.900000000000006"/>
    <x v="577"/>
    <x v="27"/>
    <d v="2025-01-29T00:00:00"/>
    <s v="F"/>
    <x v="1"/>
    <x v="1"/>
    <x v="0"/>
    <x v="3"/>
    <x v="3"/>
    <x v="4"/>
    <x v="2"/>
  </r>
  <r>
    <x v="634"/>
    <x v="0"/>
    <x v="9"/>
    <n v="27"/>
    <x v="340"/>
    <x v="27"/>
    <d v="2025-02-04T00:00:00"/>
    <s v="F"/>
    <x v="0"/>
    <x v="2"/>
    <x v="0"/>
    <x v="3"/>
    <x v="6"/>
    <x v="4"/>
    <x v="2"/>
  </r>
  <r>
    <x v="635"/>
    <x v="13"/>
    <x v="0"/>
    <n v="50.6"/>
    <x v="578"/>
    <x v="27"/>
    <d v="2025-01-28T00:00:00"/>
    <s v="M"/>
    <x v="0"/>
    <x v="1"/>
    <x v="0"/>
    <x v="3"/>
    <x v="7"/>
    <x v="4"/>
    <x v="1"/>
  </r>
  <r>
    <x v="636"/>
    <x v="4"/>
    <x v="9"/>
    <n v="22.1"/>
    <x v="579"/>
    <x v="27"/>
    <d v="2025-02-02T00:00:00"/>
    <s v="M"/>
    <x v="0"/>
    <x v="0"/>
    <x v="0"/>
    <x v="3"/>
    <x v="0"/>
    <x v="4"/>
    <x v="1"/>
  </r>
  <r>
    <x v="637"/>
    <x v="8"/>
    <x v="2"/>
    <n v="42.9"/>
    <x v="580"/>
    <x v="27"/>
    <d v="2025-01-30T00:00:00"/>
    <s v="F"/>
    <x v="0"/>
    <x v="0"/>
    <x v="0"/>
    <x v="3"/>
    <x v="1"/>
    <x v="4"/>
    <x v="2"/>
  </r>
  <r>
    <x v="638"/>
    <x v="1"/>
    <x v="5"/>
    <n v="62.4"/>
    <x v="581"/>
    <x v="27"/>
    <d v="2025-01-30T00:00:00"/>
    <s v="F"/>
    <x v="2"/>
    <x v="0"/>
    <x v="0"/>
    <x v="3"/>
    <x v="1"/>
    <x v="4"/>
    <x v="2"/>
  </r>
  <r>
    <x v="639"/>
    <x v="13"/>
    <x v="11"/>
    <n v="36.4"/>
    <x v="582"/>
    <x v="27"/>
    <d v="2025-01-30T00:00:00"/>
    <s v="F"/>
    <x v="0"/>
    <x v="2"/>
    <x v="0"/>
    <x v="3"/>
    <x v="1"/>
    <x v="4"/>
    <x v="2"/>
  </r>
  <r>
    <x v="640"/>
    <x v="0"/>
    <x v="1"/>
    <n v="22.5"/>
    <x v="583"/>
    <x v="27"/>
    <d v="2025-01-31T00:00:00"/>
    <s v="M"/>
    <x v="0"/>
    <x v="0"/>
    <x v="0"/>
    <x v="3"/>
    <x v="2"/>
    <x v="4"/>
    <x v="1"/>
  </r>
  <r>
    <x v="641"/>
    <x v="6"/>
    <x v="12"/>
    <n v="70.8"/>
    <x v="584"/>
    <x v="27"/>
    <d v="2025-01-30T00:00:00"/>
    <s v="F"/>
    <x v="4"/>
    <x v="0"/>
    <x v="0"/>
    <x v="3"/>
    <x v="1"/>
    <x v="4"/>
    <x v="2"/>
  </r>
  <r>
    <x v="642"/>
    <x v="6"/>
    <x v="9"/>
    <n v="56.6"/>
    <x v="585"/>
    <x v="27"/>
    <d v="2025-01-30T00:00:00"/>
    <s v="M"/>
    <x v="0"/>
    <x v="1"/>
    <x v="0"/>
    <x v="4"/>
    <x v="1"/>
    <x v="4"/>
    <x v="1"/>
  </r>
  <r>
    <x v="643"/>
    <x v="6"/>
    <x v="1"/>
    <n v="47.9"/>
    <x v="586"/>
    <x v="27"/>
    <d v="2025-01-29T00:00:00"/>
    <s v="F"/>
    <x v="0"/>
    <x v="0"/>
    <x v="0"/>
    <x v="6"/>
    <x v="3"/>
    <x v="4"/>
    <x v="2"/>
  </r>
  <r>
    <x v="644"/>
    <x v="6"/>
    <x v="8"/>
    <n v="78.400000000000006"/>
    <x v="587"/>
    <x v="27"/>
    <d v="2025-01-30T00:00:00"/>
    <s v="F"/>
    <x v="1"/>
    <x v="0"/>
    <x v="0"/>
    <x v="6"/>
    <x v="1"/>
    <x v="4"/>
    <x v="2"/>
  </r>
  <r>
    <x v="645"/>
    <x v="2"/>
    <x v="21"/>
    <n v="122.1"/>
    <x v="588"/>
    <x v="27"/>
    <d v="2025-02-02T00:00:00"/>
    <s v="F"/>
    <x v="0"/>
    <x v="2"/>
    <x v="0"/>
    <x v="6"/>
    <x v="0"/>
    <x v="4"/>
    <x v="2"/>
  </r>
  <r>
    <x v="646"/>
    <x v="2"/>
    <x v="1"/>
    <n v="83.7"/>
    <x v="589"/>
    <x v="28"/>
    <d v="2025-01-29T00:00:00"/>
    <s v=""/>
    <x v="1"/>
    <x v="2"/>
    <x v="0"/>
    <x v="7"/>
    <x v="7"/>
    <x v="4"/>
    <x v="0"/>
  </r>
  <r>
    <x v="647"/>
    <x v="3"/>
    <x v="12"/>
    <n v="97.9"/>
    <x v="590"/>
    <x v="28"/>
    <d v="2025-02-02T00:00:00"/>
    <s v="F"/>
    <x v="3"/>
    <x v="2"/>
    <x v="0"/>
    <x v="7"/>
    <x v="5"/>
    <x v="4"/>
    <x v="2"/>
  </r>
  <r>
    <x v="648"/>
    <x v="14"/>
    <x v="0"/>
    <n v="15"/>
    <x v="591"/>
    <x v="28"/>
    <d v="2025-02-03T00:00:00"/>
    <s v="F"/>
    <x v="3"/>
    <x v="0"/>
    <x v="0"/>
    <x v="8"/>
    <x v="0"/>
    <x v="4"/>
    <x v="2"/>
  </r>
  <r>
    <x v="649"/>
    <x v="12"/>
    <x v="2"/>
    <n v="94.6"/>
    <x v="592"/>
    <x v="28"/>
    <d v="2025-01-30T00:00:00"/>
    <s v="M"/>
    <x v="2"/>
    <x v="1"/>
    <x v="0"/>
    <x v="8"/>
    <x v="3"/>
    <x v="4"/>
    <x v="1"/>
  </r>
  <r>
    <x v="650"/>
    <x v="0"/>
    <x v="13"/>
    <n v="19.7"/>
    <x v="593"/>
    <x v="28"/>
    <d v="2025-02-09T00:00:00"/>
    <s v="F"/>
    <x v="0"/>
    <x v="2"/>
    <x v="0"/>
    <x v="8"/>
    <x v="11"/>
    <x v="4"/>
    <x v="2"/>
  </r>
  <r>
    <x v="651"/>
    <x v="7"/>
    <x v="0"/>
    <n v="46.7"/>
    <x v="594"/>
    <x v="28"/>
    <d v="2025-02-01T00:00:00"/>
    <s v="F"/>
    <x v="2"/>
    <x v="0"/>
    <x v="0"/>
    <x v="17"/>
    <x v="2"/>
    <x v="4"/>
    <x v="2"/>
  </r>
  <r>
    <x v="652"/>
    <x v="1"/>
    <x v="12"/>
    <n v="43"/>
    <x v="595"/>
    <x v="28"/>
    <d v="2025-01-30T00:00:00"/>
    <s v="M"/>
    <x v="2"/>
    <x v="2"/>
    <x v="0"/>
    <x v="17"/>
    <x v="3"/>
    <x v="4"/>
    <x v="1"/>
  </r>
  <r>
    <x v="653"/>
    <x v="6"/>
    <x v="2"/>
    <n v="68.2"/>
    <x v="214"/>
    <x v="28"/>
    <d v="2025-02-04T00:00:00"/>
    <s v="F"/>
    <x v="0"/>
    <x v="0"/>
    <x v="0"/>
    <x v="9"/>
    <x v="4"/>
    <x v="4"/>
    <x v="2"/>
  </r>
  <r>
    <x v="654"/>
    <x v="10"/>
    <x v="7"/>
    <n v="24.3"/>
    <x v="596"/>
    <x v="28"/>
    <d v="2025-01-30T00:00:00"/>
    <s v="M"/>
    <x v="0"/>
    <x v="2"/>
    <x v="0"/>
    <x v="10"/>
    <x v="3"/>
    <x v="4"/>
    <x v="1"/>
  </r>
  <r>
    <x v="655"/>
    <x v="7"/>
    <x v="1"/>
    <n v="86.8"/>
    <x v="597"/>
    <x v="28"/>
    <d v="2025-02-02T00:00:00"/>
    <s v="F"/>
    <x v="4"/>
    <x v="2"/>
    <x v="0"/>
    <x v="11"/>
    <x v="5"/>
    <x v="4"/>
    <x v="2"/>
  </r>
  <r>
    <x v="656"/>
    <x v="0"/>
    <x v="1"/>
    <n v="15.8"/>
    <x v="35"/>
    <x v="28"/>
    <d v="2025-01-31T00:00:00"/>
    <s v="M"/>
    <x v="1"/>
    <x v="0"/>
    <x v="0"/>
    <x v="11"/>
    <x v="1"/>
    <x v="4"/>
    <x v="1"/>
  </r>
  <r>
    <x v="657"/>
    <x v="2"/>
    <x v="12"/>
    <n v="61.6"/>
    <x v="598"/>
    <x v="28"/>
    <d v="2025-01-30T00:00:00"/>
    <s v="M"/>
    <x v="2"/>
    <x v="0"/>
    <x v="0"/>
    <x v="11"/>
    <x v="3"/>
    <x v="4"/>
    <x v="1"/>
  </r>
  <r>
    <x v="658"/>
    <x v="6"/>
    <x v="2"/>
    <n v="48.7"/>
    <x v="599"/>
    <x v="28"/>
    <d v="2025-02-04T00:00:00"/>
    <s v="F"/>
    <x v="1"/>
    <x v="2"/>
    <x v="0"/>
    <x v="45"/>
    <x v="4"/>
    <x v="4"/>
    <x v="2"/>
  </r>
  <r>
    <x v="659"/>
    <x v="8"/>
    <x v="12"/>
    <n v="24.3"/>
    <x v="451"/>
    <x v="28"/>
    <d v="2025-01-31T00:00:00"/>
    <s v="F"/>
    <x v="1"/>
    <x v="2"/>
    <x v="0"/>
    <x v="21"/>
    <x v="1"/>
    <x v="4"/>
    <x v="2"/>
  </r>
  <r>
    <x v="660"/>
    <x v="2"/>
    <x v="1"/>
    <n v="130.69999999999999"/>
    <x v="600"/>
    <x v="28"/>
    <d v="2025-01-30T00:00:00"/>
    <s v="F"/>
    <x v="2"/>
    <x v="0"/>
    <x v="0"/>
    <x v="44"/>
    <x v="3"/>
    <x v="4"/>
    <x v="2"/>
  </r>
  <r>
    <x v="661"/>
    <x v="10"/>
    <x v="0"/>
    <n v="26"/>
    <x v="601"/>
    <x v="28"/>
    <d v="2025-01-31T00:00:00"/>
    <s v="M"/>
    <x v="0"/>
    <x v="0"/>
    <x v="0"/>
    <x v="3"/>
    <x v="1"/>
    <x v="4"/>
    <x v="1"/>
  </r>
  <r>
    <x v="662"/>
    <x v="2"/>
    <x v="9"/>
    <n v="94.4"/>
    <x v="602"/>
    <x v="28"/>
    <d v="2025-01-30T00:00:00"/>
    <s v="F"/>
    <x v="0"/>
    <x v="0"/>
    <x v="0"/>
    <x v="3"/>
    <x v="3"/>
    <x v="4"/>
    <x v="2"/>
  </r>
  <r>
    <x v="663"/>
    <x v="0"/>
    <x v="13"/>
    <n v="23.7"/>
    <x v="60"/>
    <x v="28"/>
    <d v="2025-01-31T00:00:00"/>
    <s v="M"/>
    <x v="2"/>
    <x v="2"/>
    <x v="0"/>
    <x v="3"/>
    <x v="1"/>
    <x v="4"/>
    <x v="1"/>
  </r>
  <r>
    <x v="664"/>
    <x v="9"/>
    <x v="4"/>
    <n v="37.4"/>
    <x v="603"/>
    <x v="28"/>
    <d v="2025-01-31T00:00:00"/>
    <s v="M"/>
    <x v="2"/>
    <x v="0"/>
    <x v="0"/>
    <x v="3"/>
    <x v="1"/>
    <x v="4"/>
    <x v="1"/>
  </r>
  <r>
    <x v="665"/>
    <x v="1"/>
    <x v="34"/>
    <n v="55.2"/>
    <x v="604"/>
    <x v="28"/>
    <d v="2025-01-29T00:00:00"/>
    <s v="F"/>
    <x v="3"/>
    <x v="1"/>
    <x v="0"/>
    <x v="3"/>
    <x v="7"/>
    <x v="4"/>
    <x v="2"/>
  </r>
  <r>
    <x v="666"/>
    <x v="2"/>
    <x v="11"/>
    <n v="57.1"/>
    <x v="605"/>
    <x v="28"/>
    <d v="2025-01-31T00:00:00"/>
    <s v="M"/>
    <x v="0"/>
    <x v="2"/>
    <x v="0"/>
    <x v="3"/>
    <x v="1"/>
    <x v="4"/>
    <x v="1"/>
  </r>
  <r>
    <x v="667"/>
    <x v="12"/>
    <x v="0"/>
    <n v="55.3"/>
    <x v="6"/>
    <x v="28"/>
    <d v="2025-01-30T00:00:00"/>
    <s v="F"/>
    <x v="2"/>
    <x v="2"/>
    <x v="0"/>
    <x v="3"/>
    <x v="3"/>
    <x v="4"/>
    <x v="2"/>
  </r>
  <r>
    <x v="668"/>
    <x v="15"/>
    <x v="3"/>
    <n v="23.9"/>
    <x v="606"/>
    <x v="28"/>
    <d v="2025-01-30T00:00:00"/>
    <s v="F"/>
    <x v="4"/>
    <x v="1"/>
    <x v="0"/>
    <x v="3"/>
    <x v="3"/>
    <x v="4"/>
    <x v="2"/>
  </r>
  <r>
    <x v="669"/>
    <x v="0"/>
    <x v="0"/>
    <n v="34.1"/>
    <x v="607"/>
    <x v="28"/>
    <d v="2025-02-05T00:00:00"/>
    <s v="F"/>
    <x v="2"/>
    <x v="0"/>
    <x v="0"/>
    <x v="3"/>
    <x v="6"/>
    <x v="4"/>
    <x v="2"/>
  </r>
  <r>
    <x v="670"/>
    <x v="12"/>
    <x v="12"/>
    <n v="38.5"/>
    <x v="608"/>
    <x v="28"/>
    <d v="2025-02-09T00:00:00"/>
    <s v="F"/>
    <x v="0"/>
    <x v="0"/>
    <x v="0"/>
    <x v="3"/>
    <x v="11"/>
    <x v="4"/>
    <x v="2"/>
  </r>
  <r>
    <x v="671"/>
    <x v="7"/>
    <x v="1"/>
    <n v="105"/>
    <x v="609"/>
    <x v="28"/>
    <d v="2025-02-04T00:00:00"/>
    <s v="F"/>
    <x v="0"/>
    <x v="2"/>
    <x v="0"/>
    <x v="3"/>
    <x v="4"/>
    <x v="4"/>
    <x v="2"/>
  </r>
  <r>
    <x v="672"/>
    <x v="8"/>
    <x v="9"/>
    <n v="45.2"/>
    <x v="326"/>
    <x v="28"/>
    <d v="2025-01-31T00:00:00"/>
    <s v="F"/>
    <x v="0"/>
    <x v="2"/>
    <x v="0"/>
    <x v="3"/>
    <x v="1"/>
    <x v="4"/>
    <x v="2"/>
  </r>
  <r>
    <x v="673"/>
    <x v="17"/>
    <x v="2"/>
    <n v="24.8"/>
    <x v="610"/>
    <x v="28"/>
    <d v="2025-01-29T00:00:00"/>
    <s v=""/>
    <x v="0"/>
    <x v="1"/>
    <x v="0"/>
    <x v="3"/>
    <x v="7"/>
    <x v="4"/>
    <x v="0"/>
  </r>
  <r>
    <x v="674"/>
    <x v="11"/>
    <x v="12"/>
    <n v="43.8"/>
    <x v="122"/>
    <x v="28"/>
    <d v="2025-02-05T00:00:00"/>
    <s v="F"/>
    <x v="1"/>
    <x v="2"/>
    <x v="0"/>
    <x v="6"/>
    <x v="6"/>
    <x v="4"/>
    <x v="2"/>
  </r>
  <r>
    <x v="675"/>
    <x v="1"/>
    <x v="0"/>
    <n v="75"/>
    <x v="611"/>
    <x v="28"/>
    <d v="2025-01-31T00:00:00"/>
    <s v="F"/>
    <x v="4"/>
    <x v="1"/>
    <x v="0"/>
    <x v="6"/>
    <x v="1"/>
    <x v="4"/>
    <x v="2"/>
  </r>
  <r>
    <x v="676"/>
    <x v="2"/>
    <x v="0"/>
    <n v="169.9"/>
    <x v="612"/>
    <x v="28"/>
    <d v="2025-01-30T00:00:00"/>
    <s v="M"/>
    <x v="2"/>
    <x v="0"/>
    <x v="0"/>
    <x v="6"/>
    <x v="3"/>
    <x v="4"/>
    <x v="1"/>
  </r>
  <r>
    <x v="677"/>
    <x v="9"/>
    <x v="1"/>
    <n v="72.2"/>
    <x v="613"/>
    <x v="28"/>
    <d v="2025-01-31T00:00:00"/>
    <s v="F"/>
    <x v="4"/>
    <x v="1"/>
    <x v="0"/>
    <x v="6"/>
    <x v="1"/>
    <x v="4"/>
    <x v="2"/>
  </r>
  <r>
    <x v="678"/>
    <x v="0"/>
    <x v="0"/>
    <n v="20"/>
    <x v="614"/>
    <x v="29"/>
    <d v="2025-02-02T00:00:00"/>
    <s v="F"/>
    <x v="2"/>
    <x v="1"/>
    <x v="0"/>
    <x v="7"/>
    <x v="2"/>
    <x v="4"/>
    <x v="2"/>
  </r>
  <r>
    <x v="679"/>
    <x v="9"/>
    <x v="1"/>
    <n v="40.799999999999997"/>
    <x v="330"/>
    <x v="29"/>
    <d v="2025-02-01T00:00:00"/>
    <s v="F"/>
    <x v="3"/>
    <x v="2"/>
    <x v="0"/>
    <x v="8"/>
    <x v="1"/>
    <x v="4"/>
    <x v="2"/>
  </r>
  <r>
    <x v="680"/>
    <x v="10"/>
    <x v="12"/>
    <n v="58"/>
    <x v="615"/>
    <x v="29"/>
    <d v="2025-02-03T00:00:00"/>
    <s v="F"/>
    <x v="0"/>
    <x v="0"/>
    <x v="0"/>
    <x v="8"/>
    <x v="5"/>
    <x v="4"/>
    <x v="2"/>
  </r>
  <r>
    <x v="681"/>
    <x v="12"/>
    <x v="1"/>
    <n v="43.1"/>
    <x v="616"/>
    <x v="29"/>
    <d v="2025-01-31T00:00:00"/>
    <s v="F"/>
    <x v="1"/>
    <x v="2"/>
    <x v="0"/>
    <x v="8"/>
    <x v="3"/>
    <x v="4"/>
    <x v="2"/>
  </r>
  <r>
    <x v="682"/>
    <x v="6"/>
    <x v="11"/>
    <n v="74.7"/>
    <x v="617"/>
    <x v="29"/>
    <d v="2025-02-01T00:00:00"/>
    <s v="M"/>
    <x v="0"/>
    <x v="2"/>
    <x v="0"/>
    <x v="8"/>
    <x v="1"/>
    <x v="4"/>
    <x v="1"/>
  </r>
  <r>
    <x v="683"/>
    <x v="6"/>
    <x v="0"/>
    <n v="128.19999999999999"/>
    <x v="618"/>
    <x v="29"/>
    <d v="2025-01-30T00:00:00"/>
    <s v="M"/>
    <x v="1"/>
    <x v="0"/>
    <x v="0"/>
    <x v="8"/>
    <x v="7"/>
    <x v="4"/>
    <x v="1"/>
  </r>
  <r>
    <x v="684"/>
    <x v="14"/>
    <x v="12"/>
    <n v="26.7"/>
    <x v="619"/>
    <x v="29"/>
    <d v="2025-01-31T00:00:00"/>
    <s v="M"/>
    <x v="1"/>
    <x v="0"/>
    <x v="0"/>
    <x v="8"/>
    <x v="3"/>
    <x v="4"/>
    <x v="1"/>
  </r>
  <r>
    <x v="685"/>
    <x v="17"/>
    <x v="13"/>
    <n v="31.5"/>
    <x v="620"/>
    <x v="29"/>
    <d v="2025-01-31T00:00:00"/>
    <s v="F"/>
    <x v="2"/>
    <x v="0"/>
    <x v="0"/>
    <x v="17"/>
    <x v="3"/>
    <x v="4"/>
    <x v="2"/>
  </r>
  <r>
    <x v="686"/>
    <x v="3"/>
    <x v="3"/>
    <n v="64.7"/>
    <x v="621"/>
    <x v="29"/>
    <d v="2025-01-31T00:00:00"/>
    <s v="F"/>
    <x v="0"/>
    <x v="2"/>
    <x v="0"/>
    <x v="9"/>
    <x v="3"/>
    <x v="4"/>
    <x v="2"/>
  </r>
  <r>
    <x v="687"/>
    <x v="5"/>
    <x v="1"/>
    <n v="55.6"/>
    <x v="622"/>
    <x v="29"/>
    <d v="2025-02-02T00:00:00"/>
    <s v="F"/>
    <x v="3"/>
    <x v="0"/>
    <x v="0"/>
    <x v="11"/>
    <x v="2"/>
    <x v="4"/>
    <x v="2"/>
  </r>
  <r>
    <x v="688"/>
    <x v="3"/>
    <x v="1"/>
    <n v="36.200000000000003"/>
    <x v="623"/>
    <x v="29"/>
    <d v="2025-01-31T00:00:00"/>
    <s v="F"/>
    <x v="3"/>
    <x v="0"/>
    <x v="0"/>
    <x v="11"/>
    <x v="3"/>
    <x v="4"/>
    <x v="2"/>
  </r>
  <r>
    <x v="689"/>
    <x v="0"/>
    <x v="0"/>
    <n v="26.6"/>
    <x v="534"/>
    <x v="29"/>
    <d v="2025-01-31T00:00:00"/>
    <s v=""/>
    <x v="1"/>
    <x v="1"/>
    <x v="0"/>
    <x v="19"/>
    <x v="3"/>
    <x v="4"/>
    <x v="0"/>
  </r>
  <r>
    <x v="690"/>
    <x v="10"/>
    <x v="12"/>
    <n v="31.5"/>
    <x v="624"/>
    <x v="29"/>
    <d v="2025-02-01T00:00:00"/>
    <s v="M"/>
    <x v="0"/>
    <x v="0"/>
    <x v="0"/>
    <x v="31"/>
    <x v="1"/>
    <x v="4"/>
    <x v="1"/>
  </r>
  <r>
    <x v="691"/>
    <x v="10"/>
    <x v="0"/>
    <n v="27"/>
    <x v="49"/>
    <x v="29"/>
    <d v="2025-02-01T00:00:00"/>
    <s v="F"/>
    <x v="1"/>
    <x v="2"/>
    <x v="0"/>
    <x v="13"/>
    <x v="1"/>
    <x v="4"/>
    <x v="2"/>
  </r>
  <r>
    <x v="692"/>
    <x v="4"/>
    <x v="0"/>
    <n v="32"/>
    <x v="109"/>
    <x v="29"/>
    <d v="2025-02-02T00:00:00"/>
    <s v="M"/>
    <x v="3"/>
    <x v="0"/>
    <x v="0"/>
    <x v="21"/>
    <x v="2"/>
    <x v="4"/>
    <x v="1"/>
  </r>
  <r>
    <x v="693"/>
    <x v="1"/>
    <x v="2"/>
    <n v="48.1"/>
    <x v="625"/>
    <x v="29"/>
    <d v="2025-02-01T00:00:00"/>
    <s v="M"/>
    <x v="2"/>
    <x v="1"/>
    <x v="0"/>
    <x v="1"/>
    <x v="1"/>
    <x v="4"/>
    <x v="1"/>
  </r>
  <r>
    <x v="694"/>
    <x v="9"/>
    <x v="1"/>
    <n v="43.4"/>
    <x v="626"/>
    <x v="29"/>
    <d v="2025-01-31T00:00:00"/>
    <s v="M"/>
    <x v="1"/>
    <x v="1"/>
    <x v="0"/>
    <x v="22"/>
    <x v="3"/>
    <x v="4"/>
    <x v="1"/>
  </r>
  <r>
    <x v="695"/>
    <x v="6"/>
    <x v="1"/>
    <n v="42.6"/>
    <x v="464"/>
    <x v="29"/>
    <d v="2025-02-02T00:00:00"/>
    <s v="F"/>
    <x v="3"/>
    <x v="0"/>
    <x v="0"/>
    <x v="22"/>
    <x v="2"/>
    <x v="4"/>
    <x v="2"/>
  </r>
  <r>
    <x v="696"/>
    <x v="8"/>
    <x v="1"/>
    <n v="15.9"/>
    <x v="627"/>
    <x v="29"/>
    <d v="2025-01-31T00:00:00"/>
    <s v="F"/>
    <x v="0"/>
    <x v="0"/>
    <x v="0"/>
    <x v="34"/>
    <x v="3"/>
    <x v="4"/>
    <x v="2"/>
  </r>
  <r>
    <x v="697"/>
    <x v="9"/>
    <x v="1"/>
    <n v="63.2"/>
    <x v="628"/>
    <x v="29"/>
    <d v="2025-01-31T00:00:00"/>
    <s v="M"/>
    <x v="1"/>
    <x v="0"/>
    <x v="0"/>
    <x v="3"/>
    <x v="3"/>
    <x v="4"/>
    <x v="1"/>
  </r>
  <r>
    <x v="698"/>
    <x v="7"/>
    <x v="12"/>
    <n v="64.8"/>
    <x v="629"/>
    <x v="29"/>
    <d v="2025-02-01T00:00:00"/>
    <s v=""/>
    <x v="4"/>
    <x v="1"/>
    <x v="0"/>
    <x v="3"/>
    <x v="1"/>
    <x v="4"/>
    <x v="0"/>
  </r>
  <r>
    <x v="699"/>
    <x v="7"/>
    <x v="2"/>
    <n v="79.8"/>
    <x v="342"/>
    <x v="29"/>
    <d v="2025-01-31T00:00:00"/>
    <s v="M"/>
    <x v="0"/>
    <x v="0"/>
    <x v="0"/>
    <x v="3"/>
    <x v="3"/>
    <x v="4"/>
    <x v="1"/>
  </r>
  <r>
    <x v="700"/>
    <x v="9"/>
    <x v="0"/>
    <n v="54.4"/>
    <x v="630"/>
    <x v="29"/>
    <d v="2025-02-01T00:00:00"/>
    <s v="F"/>
    <x v="4"/>
    <x v="2"/>
    <x v="0"/>
    <x v="3"/>
    <x v="1"/>
    <x v="4"/>
    <x v="2"/>
  </r>
  <r>
    <x v="701"/>
    <x v="6"/>
    <x v="0"/>
    <n v="87.3"/>
    <x v="631"/>
    <x v="29"/>
    <d v="2025-01-31T00:00:00"/>
    <s v="M"/>
    <x v="1"/>
    <x v="0"/>
    <x v="0"/>
    <x v="3"/>
    <x v="3"/>
    <x v="4"/>
    <x v="1"/>
  </r>
  <r>
    <x v="702"/>
    <x v="8"/>
    <x v="12"/>
    <n v="32.4"/>
    <x v="632"/>
    <x v="29"/>
    <d v="2025-01-30T00:00:00"/>
    <s v="M"/>
    <x v="1"/>
    <x v="0"/>
    <x v="0"/>
    <x v="3"/>
    <x v="7"/>
    <x v="4"/>
    <x v="1"/>
  </r>
  <r>
    <x v="703"/>
    <x v="2"/>
    <x v="0"/>
    <n v="177.4"/>
    <x v="633"/>
    <x v="29"/>
    <d v="2025-02-03T00:00:00"/>
    <s v="M"/>
    <x v="0"/>
    <x v="2"/>
    <x v="0"/>
    <x v="3"/>
    <x v="5"/>
    <x v="4"/>
    <x v="1"/>
  </r>
  <r>
    <x v="704"/>
    <x v="7"/>
    <x v="1"/>
    <n v="70.099999999999994"/>
    <x v="634"/>
    <x v="29"/>
    <d v="2025-01-31T00:00:00"/>
    <s v="M"/>
    <x v="3"/>
    <x v="1"/>
    <x v="0"/>
    <x v="3"/>
    <x v="3"/>
    <x v="4"/>
    <x v="1"/>
  </r>
  <r>
    <x v="705"/>
    <x v="9"/>
    <x v="13"/>
    <n v="51.1"/>
    <x v="567"/>
    <x v="29"/>
    <d v="2025-01-31T00:00:00"/>
    <s v="F"/>
    <x v="0"/>
    <x v="0"/>
    <x v="0"/>
    <x v="3"/>
    <x v="3"/>
    <x v="4"/>
    <x v="2"/>
  </r>
  <r>
    <x v="706"/>
    <x v="2"/>
    <x v="9"/>
    <n v="79.900000000000006"/>
    <x v="635"/>
    <x v="29"/>
    <d v="2025-02-01T00:00:00"/>
    <s v="M"/>
    <x v="3"/>
    <x v="2"/>
    <x v="0"/>
    <x v="24"/>
    <x v="1"/>
    <x v="4"/>
    <x v="1"/>
  </r>
  <r>
    <x v="707"/>
    <x v="6"/>
    <x v="0"/>
    <n v="57.6"/>
    <x v="636"/>
    <x v="30"/>
    <d v="2025-02-05T00:00:00"/>
    <s v="M"/>
    <x v="0"/>
    <x v="2"/>
    <x v="0"/>
    <x v="49"/>
    <x v="0"/>
    <x v="4"/>
    <x v="1"/>
  </r>
  <r>
    <x v="708"/>
    <x v="8"/>
    <x v="7"/>
    <n v="59.7"/>
    <x v="637"/>
    <x v="30"/>
    <d v="2025-02-04T00:00:00"/>
    <s v="M"/>
    <x v="2"/>
    <x v="0"/>
    <x v="0"/>
    <x v="25"/>
    <x v="5"/>
    <x v="4"/>
    <x v="1"/>
  </r>
  <r>
    <x v="709"/>
    <x v="8"/>
    <x v="9"/>
    <n v="30"/>
    <x v="638"/>
    <x v="30"/>
    <d v="2025-02-02T00:00:00"/>
    <s v="M"/>
    <x v="1"/>
    <x v="0"/>
    <x v="0"/>
    <x v="6"/>
    <x v="1"/>
    <x v="4"/>
    <x v="1"/>
  </r>
  <r>
    <x v="710"/>
    <x v="10"/>
    <x v="1"/>
    <n v="69.2"/>
    <x v="639"/>
    <x v="30"/>
    <d v="2025-02-02T00:00:00"/>
    <s v=""/>
    <x v="2"/>
    <x v="1"/>
    <x v="0"/>
    <x v="6"/>
    <x v="1"/>
    <x v="4"/>
    <x v="0"/>
  </r>
  <r>
    <x v="711"/>
    <x v="0"/>
    <x v="8"/>
    <n v="10.9"/>
    <x v="640"/>
    <x v="30"/>
    <d v="2025-02-01T00:00:00"/>
    <s v="F"/>
    <x v="0"/>
    <x v="2"/>
    <x v="0"/>
    <x v="6"/>
    <x v="3"/>
    <x v="4"/>
    <x v="2"/>
  </r>
  <r>
    <x v="712"/>
    <x v="16"/>
    <x v="1"/>
    <n v="48.6"/>
    <x v="451"/>
    <x v="30"/>
    <d v="2025-02-04T00:00:00"/>
    <s v="M"/>
    <x v="1"/>
    <x v="2"/>
    <x v="0"/>
    <x v="6"/>
    <x v="5"/>
    <x v="4"/>
    <x v="1"/>
  </r>
  <r>
    <x v="713"/>
    <x v="2"/>
    <x v="1"/>
    <n v="61.1"/>
    <x v="641"/>
    <x v="30"/>
    <d v="2025-02-03T00:00:00"/>
    <s v="F"/>
    <x v="1"/>
    <x v="2"/>
    <x v="0"/>
    <x v="7"/>
    <x v="2"/>
    <x v="4"/>
    <x v="2"/>
  </r>
  <r>
    <x v="714"/>
    <x v="8"/>
    <x v="1"/>
    <n v="23.2"/>
    <x v="434"/>
    <x v="30"/>
    <d v="2025-02-01T00:00:00"/>
    <s v="M"/>
    <x v="3"/>
    <x v="2"/>
    <x v="0"/>
    <x v="8"/>
    <x v="3"/>
    <x v="4"/>
    <x v="1"/>
  </r>
  <r>
    <x v="715"/>
    <x v="12"/>
    <x v="12"/>
    <n v="55.8"/>
    <x v="642"/>
    <x v="30"/>
    <d v="2025-02-01T00:00:00"/>
    <s v="M"/>
    <x v="0"/>
    <x v="0"/>
    <x v="0"/>
    <x v="8"/>
    <x v="3"/>
    <x v="4"/>
    <x v="1"/>
  </r>
  <r>
    <x v="716"/>
    <x v="9"/>
    <x v="12"/>
    <n v="24.8"/>
    <x v="643"/>
    <x v="30"/>
    <d v="2025-02-01T00:00:00"/>
    <s v="F"/>
    <x v="0"/>
    <x v="2"/>
    <x v="0"/>
    <x v="8"/>
    <x v="3"/>
    <x v="4"/>
    <x v="2"/>
  </r>
  <r>
    <x v="717"/>
    <x v="10"/>
    <x v="1"/>
    <n v="27.9"/>
    <x v="391"/>
    <x v="30"/>
    <d v="2025-01-31T00:00:00"/>
    <s v="M"/>
    <x v="2"/>
    <x v="2"/>
    <x v="0"/>
    <x v="8"/>
    <x v="7"/>
    <x v="4"/>
    <x v="1"/>
  </r>
  <r>
    <x v="718"/>
    <x v="10"/>
    <x v="13"/>
    <n v="51.1"/>
    <x v="567"/>
    <x v="30"/>
    <d v="2025-01-31T00:00:00"/>
    <s v="F"/>
    <x v="3"/>
    <x v="0"/>
    <x v="0"/>
    <x v="8"/>
    <x v="7"/>
    <x v="4"/>
    <x v="2"/>
  </r>
  <r>
    <x v="719"/>
    <x v="17"/>
    <x v="5"/>
    <n v="32.700000000000003"/>
    <x v="644"/>
    <x v="30"/>
    <d v="2025-02-01T00:00:00"/>
    <s v="M"/>
    <x v="4"/>
    <x v="2"/>
    <x v="0"/>
    <x v="17"/>
    <x v="3"/>
    <x v="4"/>
    <x v="1"/>
  </r>
  <r>
    <x v="720"/>
    <x v="8"/>
    <x v="12"/>
    <n v="22.5"/>
    <x v="645"/>
    <x v="30"/>
    <d v="2025-01-31T00:00:00"/>
    <s v="M"/>
    <x v="0"/>
    <x v="2"/>
    <x v="0"/>
    <x v="26"/>
    <x v="7"/>
    <x v="4"/>
    <x v="1"/>
  </r>
  <r>
    <x v="721"/>
    <x v="0"/>
    <x v="3"/>
    <n v="14.6"/>
    <x v="646"/>
    <x v="30"/>
    <d v="2025-02-01T00:00:00"/>
    <s v="F"/>
    <x v="2"/>
    <x v="0"/>
    <x v="0"/>
    <x v="41"/>
    <x v="3"/>
    <x v="4"/>
    <x v="2"/>
  </r>
  <r>
    <x v="722"/>
    <x v="5"/>
    <x v="2"/>
    <n v="32.5"/>
    <x v="647"/>
    <x v="30"/>
    <d v="2025-02-03T00:00:00"/>
    <s v="M"/>
    <x v="0"/>
    <x v="0"/>
    <x v="0"/>
    <x v="10"/>
    <x v="2"/>
    <x v="4"/>
    <x v="1"/>
  </r>
  <r>
    <x v="723"/>
    <x v="18"/>
    <x v="0"/>
    <n v="78.099999999999994"/>
    <x v="648"/>
    <x v="30"/>
    <d v="2025-02-03T00:00:00"/>
    <s v="M"/>
    <x v="0"/>
    <x v="2"/>
    <x v="0"/>
    <x v="11"/>
    <x v="2"/>
    <x v="4"/>
    <x v="1"/>
  </r>
  <r>
    <x v="724"/>
    <x v="12"/>
    <x v="13"/>
    <n v="110.2"/>
    <x v="649"/>
    <x v="30"/>
    <d v="2025-01-31T00:00:00"/>
    <s v="M"/>
    <x v="1"/>
    <x v="4"/>
    <x v="0"/>
    <x v="13"/>
    <x v="7"/>
    <x v="4"/>
    <x v="1"/>
  </r>
  <r>
    <x v="725"/>
    <x v="6"/>
    <x v="2"/>
    <n v="86.3"/>
    <x v="650"/>
    <x v="30"/>
    <d v="2025-02-02T00:00:00"/>
    <s v="F"/>
    <x v="3"/>
    <x v="0"/>
    <x v="0"/>
    <x v="21"/>
    <x v="1"/>
    <x v="4"/>
    <x v="2"/>
  </r>
  <r>
    <x v="726"/>
    <x v="1"/>
    <x v="13"/>
    <n v="73.599999999999994"/>
    <x v="651"/>
    <x v="30"/>
    <d v="2025-02-02T00:00:00"/>
    <s v="O"/>
    <x v="3"/>
    <x v="4"/>
    <x v="0"/>
    <x v="44"/>
    <x v="1"/>
    <x v="4"/>
    <x v="3"/>
  </r>
  <r>
    <x v="727"/>
    <x v="6"/>
    <x v="15"/>
    <n v="67.7"/>
    <x v="652"/>
    <x v="30"/>
    <d v="2025-02-02T00:00:00"/>
    <s v="F"/>
    <x v="0"/>
    <x v="2"/>
    <x v="0"/>
    <x v="3"/>
    <x v="1"/>
    <x v="4"/>
    <x v="2"/>
  </r>
  <r>
    <x v="728"/>
    <x v="7"/>
    <x v="13"/>
    <n v="142.19999999999999"/>
    <x v="653"/>
    <x v="30"/>
    <d v="2025-02-01T00:00:00"/>
    <s v="F"/>
    <x v="2"/>
    <x v="4"/>
    <x v="0"/>
    <x v="3"/>
    <x v="3"/>
    <x v="4"/>
    <x v="2"/>
  </r>
  <r>
    <x v="729"/>
    <x v="1"/>
    <x v="11"/>
    <n v="45.8"/>
    <x v="654"/>
    <x v="30"/>
    <d v="2025-02-02T00:00:00"/>
    <s v="F"/>
    <x v="1"/>
    <x v="2"/>
    <x v="0"/>
    <x v="3"/>
    <x v="1"/>
    <x v="4"/>
    <x v="2"/>
  </r>
  <r>
    <x v="730"/>
    <x v="10"/>
    <x v="1"/>
    <n v="24.2"/>
    <x v="655"/>
    <x v="31"/>
    <d v="2025-02-04T00:00:00"/>
    <s v="F"/>
    <x v="3"/>
    <x v="2"/>
    <x v="0"/>
    <x v="3"/>
    <x v="2"/>
    <x v="4"/>
    <x v="2"/>
  </r>
  <r>
    <x v="731"/>
    <x v="2"/>
    <x v="2"/>
    <n v="144.9"/>
    <x v="656"/>
    <x v="31"/>
    <d v="2025-02-02T00:00:00"/>
    <s v="O"/>
    <x v="2"/>
    <x v="2"/>
    <x v="0"/>
    <x v="3"/>
    <x v="3"/>
    <x v="4"/>
    <x v="3"/>
  </r>
  <r>
    <x v="732"/>
    <x v="11"/>
    <x v="9"/>
    <n v="32.799999999999997"/>
    <x v="657"/>
    <x v="31"/>
    <d v="2025-02-04T00:00:00"/>
    <s v="F"/>
    <x v="2"/>
    <x v="0"/>
    <x v="0"/>
    <x v="23"/>
    <x v="2"/>
    <x v="4"/>
    <x v="2"/>
  </r>
  <r>
    <x v="733"/>
    <x v="7"/>
    <x v="7"/>
    <n v="35.700000000000003"/>
    <x v="658"/>
    <x v="31"/>
    <d v="2025-02-01T00:00:00"/>
    <s v="F"/>
    <x v="0"/>
    <x v="1"/>
    <x v="0"/>
    <x v="6"/>
    <x v="7"/>
    <x v="4"/>
    <x v="2"/>
  </r>
  <r>
    <x v="734"/>
    <x v="9"/>
    <x v="1"/>
    <n v="54.6"/>
    <x v="659"/>
    <x v="31"/>
    <d v="2025-02-02T00:00:00"/>
    <s v="F"/>
    <x v="2"/>
    <x v="0"/>
    <x v="0"/>
    <x v="6"/>
    <x v="3"/>
    <x v="4"/>
    <x v="2"/>
  </r>
  <r>
    <x v="735"/>
    <x v="8"/>
    <x v="1"/>
    <n v="35.700000000000003"/>
    <x v="660"/>
    <x v="31"/>
    <d v="2025-02-04T00:00:00"/>
    <s v=""/>
    <x v="0"/>
    <x v="1"/>
    <x v="0"/>
    <x v="6"/>
    <x v="2"/>
    <x v="4"/>
    <x v="0"/>
  </r>
  <r>
    <x v="736"/>
    <x v="10"/>
    <x v="1"/>
    <n v="52.4"/>
    <x v="661"/>
    <x v="31"/>
    <d v="2025-02-01T00:00:00"/>
    <s v="F"/>
    <x v="0"/>
    <x v="3"/>
    <x v="0"/>
    <x v="6"/>
    <x v="7"/>
    <x v="4"/>
    <x v="2"/>
  </r>
  <r>
    <x v="737"/>
    <x v="8"/>
    <x v="21"/>
    <n v="16.2"/>
    <x v="662"/>
    <x v="31"/>
    <d v="2025-02-02T00:00:00"/>
    <s v=""/>
    <x v="0"/>
    <x v="1"/>
    <x v="0"/>
    <x v="8"/>
    <x v="3"/>
    <x v="4"/>
    <x v="0"/>
  </r>
  <r>
    <x v="738"/>
    <x v="6"/>
    <x v="35"/>
    <n v="42.8"/>
    <x v="663"/>
    <x v="31"/>
    <d v="2025-02-02T00:00:00"/>
    <s v="F"/>
    <x v="0"/>
    <x v="0"/>
    <x v="0"/>
    <x v="8"/>
    <x v="3"/>
    <x v="4"/>
    <x v="2"/>
  </r>
  <r>
    <x v="739"/>
    <x v="6"/>
    <x v="11"/>
    <n v="144.4"/>
    <x v="664"/>
    <x v="31"/>
    <d v="2025-02-04T00:00:00"/>
    <s v="F"/>
    <x v="4"/>
    <x v="0"/>
    <x v="0"/>
    <x v="8"/>
    <x v="2"/>
    <x v="4"/>
    <x v="2"/>
  </r>
  <r>
    <x v="740"/>
    <x v="3"/>
    <x v="34"/>
    <n v="30.6"/>
    <x v="665"/>
    <x v="31"/>
    <d v="2025-02-05T00:00:00"/>
    <s v="F"/>
    <x v="2"/>
    <x v="2"/>
    <x v="0"/>
    <x v="11"/>
    <x v="5"/>
    <x v="4"/>
    <x v="2"/>
  </r>
  <r>
    <x v="741"/>
    <x v="2"/>
    <x v="1"/>
    <n v="117.5"/>
    <x v="666"/>
    <x v="31"/>
    <d v="2025-02-02T00:00:00"/>
    <s v="M"/>
    <x v="0"/>
    <x v="0"/>
    <x v="0"/>
    <x v="19"/>
    <x v="3"/>
    <x v="4"/>
    <x v="1"/>
  </r>
  <r>
    <x v="742"/>
    <x v="6"/>
    <x v="1"/>
    <n v="105.7"/>
    <x v="667"/>
    <x v="31"/>
    <d v="2025-02-02T00:00:00"/>
    <s v="F"/>
    <x v="2"/>
    <x v="2"/>
    <x v="0"/>
    <x v="21"/>
    <x v="3"/>
    <x v="4"/>
    <x v="2"/>
  </r>
  <r>
    <x v="743"/>
    <x v="3"/>
    <x v="2"/>
    <n v="133.69999999999999"/>
    <x v="668"/>
    <x v="31"/>
    <d v="2025-02-02T00:00:00"/>
    <s v=""/>
    <x v="4"/>
    <x v="2"/>
    <x v="0"/>
    <x v="21"/>
    <x v="3"/>
    <x v="4"/>
    <x v="0"/>
  </r>
  <r>
    <x v="744"/>
    <x v="4"/>
    <x v="9"/>
    <n v="46.8"/>
    <x v="540"/>
    <x v="32"/>
    <d v="2025-02-10T00:00:00"/>
    <s v="F"/>
    <x v="0"/>
    <x v="1"/>
    <x v="0"/>
    <x v="21"/>
    <x v="9"/>
    <x v="5"/>
    <x v="2"/>
  </r>
  <r>
    <x v="745"/>
    <x v="10"/>
    <x v="2"/>
    <n v="58.4"/>
    <x v="122"/>
    <x v="32"/>
    <d v="2025-02-04T00:00:00"/>
    <s v="F"/>
    <x v="0"/>
    <x v="0"/>
    <x v="0"/>
    <x v="1"/>
    <x v="1"/>
    <x v="5"/>
    <x v="2"/>
  </r>
  <r>
    <x v="746"/>
    <x v="6"/>
    <x v="11"/>
    <n v="65.099999999999994"/>
    <x v="669"/>
    <x v="32"/>
    <d v="2025-02-06T00:00:00"/>
    <s v="M"/>
    <x v="1"/>
    <x v="2"/>
    <x v="0"/>
    <x v="22"/>
    <x v="5"/>
    <x v="5"/>
    <x v="1"/>
  </r>
  <r>
    <x v="747"/>
    <x v="8"/>
    <x v="0"/>
    <n v="18.600000000000001"/>
    <x v="670"/>
    <x v="32"/>
    <d v="2025-02-05T00:00:00"/>
    <s v="F"/>
    <x v="0"/>
    <x v="4"/>
    <x v="0"/>
    <x v="22"/>
    <x v="2"/>
    <x v="5"/>
    <x v="2"/>
  </r>
  <r>
    <x v="748"/>
    <x v="1"/>
    <x v="5"/>
    <n v="92.3"/>
    <x v="671"/>
    <x v="32"/>
    <d v="2025-02-04T00:00:00"/>
    <s v="M"/>
    <x v="1"/>
    <x v="0"/>
    <x v="0"/>
    <x v="3"/>
    <x v="1"/>
    <x v="5"/>
    <x v="1"/>
  </r>
  <r>
    <x v="749"/>
    <x v="6"/>
    <x v="2"/>
    <n v="81.7"/>
    <x v="672"/>
    <x v="32"/>
    <d v="2025-02-03T00:00:00"/>
    <s v=""/>
    <x v="4"/>
    <x v="4"/>
    <x v="0"/>
    <x v="3"/>
    <x v="3"/>
    <x v="5"/>
    <x v="0"/>
  </r>
  <r>
    <x v="750"/>
    <x v="8"/>
    <x v="1"/>
    <n v="40.9"/>
    <x v="673"/>
    <x v="32"/>
    <d v="2025-02-04T00:00:00"/>
    <s v="M"/>
    <x v="0"/>
    <x v="1"/>
    <x v="0"/>
    <x v="3"/>
    <x v="1"/>
    <x v="5"/>
    <x v="1"/>
  </r>
  <r>
    <x v="751"/>
    <x v="6"/>
    <x v="12"/>
    <n v="43.2"/>
    <x v="162"/>
    <x v="32"/>
    <d v="2025-02-08T00:00:00"/>
    <s v="F"/>
    <x v="0"/>
    <x v="1"/>
    <x v="0"/>
    <x v="3"/>
    <x v="4"/>
    <x v="5"/>
    <x v="2"/>
  </r>
  <r>
    <x v="752"/>
    <x v="8"/>
    <x v="5"/>
    <n v="25.8"/>
    <x v="674"/>
    <x v="32"/>
    <d v="2025-02-05T00:00:00"/>
    <s v="M"/>
    <x v="2"/>
    <x v="1"/>
    <x v="0"/>
    <x v="3"/>
    <x v="2"/>
    <x v="5"/>
    <x v="1"/>
  </r>
  <r>
    <x v="753"/>
    <x v="15"/>
    <x v="12"/>
    <n v="36.4"/>
    <x v="675"/>
    <x v="32"/>
    <d v="2025-02-03T00:00:00"/>
    <s v="M"/>
    <x v="0"/>
    <x v="0"/>
    <x v="0"/>
    <x v="3"/>
    <x v="3"/>
    <x v="5"/>
    <x v="1"/>
  </r>
  <r>
    <x v="754"/>
    <x v="10"/>
    <x v="0"/>
    <n v="59.1"/>
    <x v="676"/>
    <x v="32"/>
    <d v="2025-02-03T00:00:00"/>
    <s v="F"/>
    <x v="2"/>
    <x v="0"/>
    <x v="0"/>
    <x v="7"/>
    <x v="3"/>
    <x v="5"/>
    <x v="2"/>
  </r>
  <r>
    <x v="755"/>
    <x v="2"/>
    <x v="14"/>
    <n v="74.5"/>
    <x v="677"/>
    <x v="32"/>
    <d v="2025-02-04T00:00:00"/>
    <s v="M"/>
    <x v="4"/>
    <x v="0"/>
    <x v="0"/>
    <x v="18"/>
    <x v="1"/>
    <x v="5"/>
    <x v="1"/>
  </r>
  <r>
    <x v="756"/>
    <x v="5"/>
    <x v="0"/>
    <n v="72.8"/>
    <x v="236"/>
    <x v="32"/>
    <d v="2025-02-03T00:00:00"/>
    <s v="F"/>
    <x v="0"/>
    <x v="1"/>
    <x v="0"/>
    <x v="19"/>
    <x v="3"/>
    <x v="5"/>
    <x v="2"/>
  </r>
  <r>
    <x v="757"/>
    <x v="6"/>
    <x v="12"/>
    <n v="137.30000000000001"/>
    <x v="678"/>
    <x v="32"/>
    <d v="2025-02-05T00:00:00"/>
    <s v="F"/>
    <x v="0"/>
    <x v="0"/>
    <x v="0"/>
    <x v="13"/>
    <x v="2"/>
    <x v="5"/>
    <x v="2"/>
  </r>
  <r>
    <x v="758"/>
    <x v="1"/>
    <x v="2"/>
    <n v="48.7"/>
    <x v="599"/>
    <x v="32"/>
    <d v="2025-02-07T00:00:00"/>
    <s v="F"/>
    <x v="0"/>
    <x v="1"/>
    <x v="0"/>
    <x v="21"/>
    <x v="0"/>
    <x v="5"/>
    <x v="2"/>
  </r>
  <r>
    <x v="759"/>
    <x v="6"/>
    <x v="12"/>
    <n v="53.7"/>
    <x v="679"/>
    <x v="32"/>
    <d v="2025-02-06T00:00:00"/>
    <s v="M"/>
    <x v="1"/>
    <x v="4"/>
    <x v="0"/>
    <x v="2"/>
    <x v="5"/>
    <x v="5"/>
    <x v="1"/>
  </r>
  <r>
    <x v="760"/>
    <x v="2"/>
    <x v="3"/>
    <n v="100.9"/>
    <x v="680"/>
    <x v="32"/>
    <d v="2025-02-04T00:00:00"/>
    <s v="F"/>
    <x v="0"/>
    <x v="1"/>
    <x v="0"/>
    <x v="2"/>
    <x v="1"/>
    <x v="5"/>
    <x v="2"/>
  </r>
  <r>
    <x v="761"/>
    <x v="10"/>
    <x v="1"/>
    <n v="41.8"/>
    <x v="681"/>
    <x v="32"/>
    <d v="2025-02-06T00:00:00"/>
    <s v="M"/>
    <x v="3"/>
    <x v="2"/>
    <x v="0"/>
    <x v="22"/>
    <x v="5"/>
    <x v="5"/>
    <x v="1"/>
  </r>
  <r>
    <x v="762"/>
    <x v="4"/>
    <x v="8"/>
    <n v="28.5"/>
    <x v="416"/>
    <x v="32"/>
    <d v="2025-02-04T00:00:00"/>
    <s v="M"/>
    <x v="2"/>
    <x v="1"/>
    <x v="0"/>
    <x v="3"/>
    <x v="1"/>
    <x v="5"/>
    <x v="1"/>
  </r>
  <r>
    <x v="763"/>
    <x v="7"/>
    <x v="12"/>
    <n v="88.9"/>
    <x v="682"/>
    <x v="32"/>
    <d v="2025-02-05T00:00:00"/>
    <s v="F"/>
    <x v="0"/>
    <x v="2"/>
    <x v="0"/>
    <x v="3"/>
    <x v="2"/>
    <x v="5"/>
    <x v="2"/>
  </r>
  <r>
    <x v="764"/>
    <x v="6"/>
    <x v="0"/>
    <n v="62.5"/>
    <x v="683"/>
    <x v="32"/>
    <d v="2025-02-11T00:00:00"/>
    <s v="F"/>
    <x v="0"/>
    <x v="2"/>
    <x v="0"/>
    <x v="3"/>
    <x v="8"/>
    <x v="5"/>
    <x v="2"/>
  </r>
  <r>
    <x v="765"/>
    <x v="1"/>
    <x v="2"/>
    <n v="46.9"/>
    <x v="684"/>
    <x v="32"/>
    <d v="2025-02-03T00:00:00"/>
    <s v="M"/>
    <x v="0"/>
    <x v="2"/>
    <x v="0"/>
    <x v="3"/>
    <x v="3"/>
    <x v="5"/>
    <x v="1"/>
  </r>
  <r>
    <x v="766"/>
    <x v="8"/>
    <x v="2"/>
    <n v="45"/>
    <x v="340"/>
    <x v="32"/>
    <d v="2025-02-16T00:00:00"/>
    <s v="M"/>
    <x v="1"/>
    <x v="0"/>
    <x v="0"/>
    <x v="3"/>
    <x v="12"/>
    <x v="5"/>
    <x v="1"/>
  </r>
  <r>
    <x v="767"/>
    <x v="6"/>
    <x v="2"/>
    <n v="45.2"/>
    <x v="685"/>
    <x v="32"/>
    <d v="2025-02-04T00:00:00"/>
    <s v="M"/>
    <x v="4"/>
    <x v="2"/>
    <x v="0"/>
    <x v="3"/>
    <x v="1"/>
    <x v="5"/>
    <x v="1"/>
  </r>
  <r>
    <x v="768"/>
    <x v="4"/>
    <x v="1"/>
    <n v="60.1"/>
    <x v="493"/>
    <x v="32"/>
    <d v="2025-02-03T00:00:00"/>
    <s v="F"/>
    <x v="0"/>
    <x v="2"/>
    <x v="0"/>
    <x v="3"/>
    <x v="3"/>
    <x v="5"/>
    <x v="2"/>
  </r>
  <r>
    <x v="769"/>
    <x v="12"/>
    <x v="12"/>
    <n v="118.7"/>
    <x v="686"/>
    <x v="32"/>
    <d v="2025-02-04T00:00:00"/>
    <s v="F"/>
    <x v="0"/>
    <x v="0"/>
    <x v="0"/>
    <x v="3"/>
    <x v="1"/>
    <x v="5"/>
    <x v="2"/>
  </r>
  <r>
    <x v="770"/>
    <x v="9"/>
    <x v="0"/>
    <n v="57.8"/>
    <x v="687"/>
    <x v="32"/>
    <d v="2025-02-11T00:00:00"/>
    <s v="F"/>
    <x v="1"/>
    <x v="0"/>
    <x v="0"/>
    <x v="3"/>
    <x v="8"/>
    <x v="5"/>
    <x v="2"/>
  </r>
  <r>
    <x v="771"/>
    <x v="4"/>
    <x v="0"/>
    <n v="19.5"/>
    <x v="688"/>
    <x v="32"/>
    <d v="2025-02-03T00:00:00"/>
    <s v="M"/>
    <x v="1"/>
    <x v="1"/>
    <x v="0"/>
    <x v="3"/>
    <x v="3"/>
    <x v="5"/>
    <x v="1"/>
  </r>
  <r>
    <x v="772"/>
    <x v="12"/>
    <x v="0"/>
    <n v="42.6"/>
    <x v="440"/>
    <x v="32"/>
    <d v="2025-02-03T00:00:00"/>
    <s v="M"/>
    <x v="0"/>
    <x v="1"/>
    <x v="0"/>
    <x v="3"/>
    <x v="3"/>
    <x v="5"/>
    <x v="1"/>
  </r>
  <r>
    <x v="773"/>
    <x v="6"/>
    <x v="1"/>
    <n v="74.8"/>
    <x v="689"/>
    <x v="32"/>
    <d v="2025-02-03T00:00:00"/>
    <s v="F"/>
    <x v="3"/>
    <x v="2"/>
    <x v="0"/>
    <x v="37"/>
    <x v="3"/>
    <x v="5"/>
    <x v="2"/>
  </r>
  <r>
    <x v="774"/>
    <x v="8"/>
    <x v="2"/>
    <n v="32.5"/>
    <x v="647"/>
    <x v="32"/>
    <d v="2025-02-03T00:00:00"/>
    <s v="M"/>
    <x v="2"/>
    <x v="4"/>
    <x v="0"/>
    <x v="16"/>
    <x v="3"/>
    <x v="5"/>
    <x v="1"/>
  </r>
  <r>
    <x v="775"/>
    <x v="2"/>
    <x v="2"/>
    <n v="60.5"/>
    <x v="690"/>
    <x v="32"/>
    <d v="2025-02-02T00:00:00"/>
    <s v="F"/>
    <x v="1"/>
    <x v="2"/>
    <x v="0"/>
    <x v="25"/>
    <x v="7"/>
    <x v="5"/>
    <x v="2"/>
  </r>
  <r>
    <x v="776"/>
    <x v="1"/>
    <x v="3"/>
    <n v="57.2"/>
    <x v="691"/>
    <x v="32"/>
    <d v="2025-02-04T00:00:00"/>
    <s v=""/>
    <x v="2"/>
    <x v="0"/>
    <x v="0"/>
    <x v="25"/>
    <x v="1"/>
    <x v="5"/>
    <x v="0"/>
  </r>
  <r>
    <x v="777"/>
    <x v="16"/>
    <x v="1"/>
    <n v="112"/>
    <x v="692"/>
    <x v="32"/>
    <d v="2025-02-03T00:00:00"/>
    <s v="F"/>
    <x v="1"/>
    <x v="1"/>
    <x v="0"/>
    <x v="5"/>
    <x v="3"/>
    <x v="5"/>
    <x v="2"/>
  </r>
  <r>
    <x v="778"/>
    <x v="7"/>
    <x v="7"/>
    <n v="49"/>
    <x v="157"/>
    <x v="32"/>
    <d v="2025-02-03T00:00:00"/>
    <s v="O"/>
    <x v="2"/>
    <x v="1"/>
    <x v="0"/>
    <x v="6"/>
    <x v="3"/>
    <x v="5"/>
    <x v="3"/>
  </r>
  <r>
    <x v="779"/>
    <x v="0"/>
    <x v="1"/>
    <n v="33.700000000000003"/>
    <x v="693"/>
    <x v="32"/>
    <d v="2025-02-06T00:00:00"/>
    <s v="F"/>
    <x v="3"/>
    <x v="0"/>
    <x v="0"/>
    <x v="6"/>
    <x v="5"/>
    <x v="5"/>
    <x v="2"/>
  </r>
  <r>
    <x v="780"/>
    <x v="4"/>
    <x v="2"/>
    <n v="35.6"/>
    <x v="694"/>
    <x v="32"/>
    <d v="2025-02-05T00:00:00"/>
    <s v="F"/>
    <x v="0"/>
    <x v="2"/>
    <x v="0"/>
    <x v="6"/>
    <x v="2"/>
    <x v="5"/>
    <x v="2"/>
  </r>
  <r>
    <x v="781"/>
    <x v="4"/>
    <x v="36"/>
    <n v="30.4"/>
    <x v="695"/>
    <x v="33"/>
    <d v="2025-02-03T00:00:00"/>
    <s v="F"/>
    <x v="0"/>
    <x v="1"/>
    <x v="0"/>
    <x v="7"/>
    <x v="7"/>
    <x v="5"/>
    <x v="2"/>
  </r>
  <r>
    <x v="782"/>
    <x v="10"/>
    <x v="4"/>
    <n v="50.2"/>
    <x v="696"/>
    <x v="33"/>
    <d v="2025-02-04T00:00:00"/>
    <s v="M"/>
    <x v="4"/>
    <x v="0"/>
    <x v="0"/>
    <x v="8"/>
    <x v="3"/>
    <x v="5"/>
    <x v="1"/>
  </r>
  <r>
    <x v="783"/>
    <x v="1"/>
    <x v="1"/>
    <n v="43.7"/>
    <x v="697"/>
    <x v="33"/>
    <d v="2025-02-05T00:00:00"/>
    <s v="F"/>
    <x v="0"/>
    <x v="0"/>
    <x v="0"/>
    <x v="8"/>
    <x v="1"/>
    <x v="5"/>
    <x v="2"/>
  </r>
  <r>
    <x v="784"/>
    <x v="10"/>
    <x v="0"/>
    <n v="33.299999999999997"/>
    <x v="698"/>
    <x v="33"/>
    <d v="2025-02-04T00:00:00"/>
    <s v="F"/>
    <x v="2"/>
    <x v="1"/>
    <x v="0"/>
    <x v="8"/>
    <x v="3"/>
    <x v="5"/>
    <x v="2"/>
  </r>
  <r>
    <x v="785"/>
    <x v="8"/>
    <x v="12"/>
    <n v="15.1"/>
    <x v="266"/>
    <x v="33"/>
    <d v="2025-02-05T00:00:00"/>
    <s v="F"/>
    <x v="4"/>
    <x v="2"/>
    <x v="0"/>
    <x v="8"/>
    <x v="1"/>
    <x v="5"/>
    <x v="2"/>
  </r>
  <r>
    <x v="786"/>
    <x v="6"/>
    <x v="9"/>
    <n v="118.2"/>
    <x v="699"/>
    <x v="33"/>
    <d v="2025-02-04T00:00:00"/>
    <s v="F"/>
    <x v="3"/>
    <x v="4"/>
    <x v="0"/>
    <x v="8"/>
    <x v="3"/>
    <x v="5"/>
    <x v="2"/>
  </r>
  <r>
    <x v="787"/>
    <x v="10"/>
    <x v="2"/>
    <n v="28.9"/>
    <x v="700"/>
    <x v="33"/>
    <d v="2025-02-05T00:00:00"/>
    <s v="F"/>
    <x v="2"/>
    <x v="1"/>
    <x v="0"/>
    <x v="8"/>
    <x v="1"/>
    <x v="5"/>
    <x v="2"/>
  </r>
  <r>
    <x v="788"/>
    <x v="4"/>
    <x v="2"/>
    <n v="55.6"/>
    <x v="701"/>
    <x v="33"/>
    <d v="2025-02-04T00:00:00"/>
    <s v="M"/>
    <x v="0"/>
    <x v="1"/>
    <x v="0"/>
    <x v="8"/>
    <x v="3"/>
    <x v="5"/>
    <x v="1"/>
  </r>
  <r>
    <x v="789"/>
    <x v="9"/>
    <x v="12"/>
    <n v="25.6"/>
    <x v="298"/>
    <x v="33"/>
    <d v="2025-02-05T00:00:00"/>
    <s v="F"/>
    <x v="0"/>
    <x v="1"/>
    <x v="0"/>
    <x v="8"/>
    <x v="1"/>
    <x v="5"/>
    <x v="2"/>
  </r>
  <r>
    <x v="790"/>
    <x v="7"/>
    <x v="2"/>
    <n v="31.3"/>
    <x v="442"/>
    <x v="33"/>
    <d v="2025-02-04T00:00:00"/>
    <s v="M"/>
    <x v="0"/>
    <x v="0"/>
    <x v="0"/>
    <x v="17"/>
    <x v="3"/>
    <x v="5"/>
    <x v="1"/>
  </r>
  <r>
    <x v="791"/>
    <x v="0"/>
    <x v="2"/>
    <n v="22.1"/>
    <x v="702"/>
    <x v="33"/>
    <d v="2025-02-07T00:00:00"/>
    <s v="M"/>
    <x v="0"/>
    <x v="0"/>
    <x v="0"/>
    <x v="17"/>
    <x v="5"/>
    <x v="5"/>
    <x v="1"/>
  </r>
  <r>
    <x v="792"/>
    <x v="2"/>
    <x v="21"/>
    <n v="99.4"/>
    <x v="703"/>
    <x v="33"/>
    <d v="2025-02-04T00:00:00"/>
    <s v="M"/>
    <x v="1"/>
    <x v="0"/>
    <x v="0"/>
    <x v="11"/>
    <x v="3"/>
    <x v="5"/>
    <x v="1"/>
  </r>
  <r>
    <x v="793"/>
    <x v="7"/>
    <x v="13"/>
    <n v="66.599999999999994"/>
    <x v="704"/>
    <x v="33"/>
    <d v="2025-02-04T00:00:00"/>
    <s v="F"/>
    <x v="0"/>
    <x v="0"/>
    <x v="0"/>
    <x v="11"/>
    <x v="3"/>
    <x v="5"/>
    <x v="2"/>
  </r>
  <r>
    <x v="794"/>
    <x v="8"/>
    <x v="1"/>
    <n v="22.6"/>
    <x v="705"/>
    <x v="33"/>
    <d v="2025-02-06T00:00:00"/>
    <s v="M"/>
    <x v="0"/>
    <x v="0"/>
    <x v="0"/>
    <x v="11"/>
    <x v="2"/>
    <x v="5"/>
    <x v="1"/>
  </r>
  <r>
    <x v="795"/>
    <x v="2"/>
    <x v="16"/>
    <n v="66.8"/>
    <x v="706"/>
    <x v="33"/>
    <d v="2025-02-04T00:00:00"/>
    <s v="F"/>
    <x v="0"/>
    <x v="4"/>
    <x v="0"/>
    <x v="13"/>
    <x v="3"/>
    <x v="5"/>
    <x v="2"/>
  </r>
  <r>
    <x v="796"/>
    <x v="0"/>
    <x v="12"/>
    <n v="20.8"/>
    <x v="707"/>
    <x v="33"/>
    <d v="2025-02-10T00:00:00"/>
    <s v="M"/>
    <x v="1"/>
    <x v="4"/>
    <x v="0"/>
    <x v="1"/>
    <x v="6"/>
    <x v="5"/>
    <x v="1"/>
  </r>
  <r>
    <x v="797"/>
    <x v="2"/>
    <x v="3"/>
    <n v="102.5"/>
    <x v="708"/>
    <x v="33"/>
    <d v="2025-02-04T00:00:00"/>
    <s v="F"/>
    <x v="4"/>
    <x v="2"/>
    <x v="0"/>
    <x v="3"/>
    <x v="3"/>
    <x v="5"/>
    <x v="2"/>
  </r>
  <r>
    <x v="798"/>
    <x v="0"/>
    <x v="16"/>
    <n v="24.8"/>
    <x v="709"/>
    <x v="33"/>
    <d v="2025-02-07T00:00:00"/>
    <s v="F"/>
    <x v="0"/>
    <x v="0"/>
    <x v="0"/>
    <x v="3"/>
    <x v="5"/>
    <x v="5"/>
    <x v="2"/>
  </r>
  <r>
    <x v="799"/>
    <x v="4"/>
    <x v="37"/>
    <n v="31.4"/>
    <x v="710"/>
    <x v="33"/>
    <d v="2025-02-04T00:00:00"/>
    <s v="F"/>
    <x v="3"/>
    <x v="0"/>
    <x v="0"/>
    <x v="3"/>
    <x v="3"/>
    <x v="5"/>
    <x v="2"/>
  </r>
  <r>
    <x v="800"/>
    <x v="9"/>
    <x v="9"/>
    <n v="59.3"/>
    <x v="711"/>
    <x v="33"/>
    <d v="2025-02-06T00:00:00"/>
    <s v="M"/>
    <x v="1"/>
    <x v="2"/>
    <x v="0"/>
    <x v="43"/>
    <x v="2"/>
    <x v="5"/>
    <x v="1"/>
  </r>
  <r>
    <x v="801"/>
    <x v="11"/>
    <x v="13"/>
    <n v="39"/>
    <x v="540"/>
    <x v="33"/>
    <d v="2025-02-06T00:00:00"/>
    <s v="M"/>
    <x v="1"/>
    <x v="0"/>
    <x v="0"/>
    <x v="6"/>
    <x v="2"/>
    <x v="5"/>
    <x v="1"/>
  </r>
  <r>
    <x v="802"/>
    <x v="5"/>
    <x v="13"/>
    <n v="98.6"/>
    <x v="712"/>
    <x v="33"/>
    <d v="2025-02-05T00:00:00"/>
    <s v="F"/>
    <x v="1"/>
    <x v="0"/>
    <x v="0"/>
    <x v="6"/>
    <x v="1"/>
    <x v="5"/>
    <x v="2"/>
  </r>
  <r>
    <x v="803"/>
    <x v="8"/>
    <x v="0"/>
    <n v="20"/>
    <x v="614"/>
    <x v="34"/>
    <d v="2025-02-05T00:00:00"/>
    <s v="M"/>
    <x v="3"/>
    <x v="2"/>
    <x v="0"/>
    <x v="8"/>
    <x v="3"/>
    <x v="5"/>
    <x v="1"/>
  </r>
  <r>
    <x v="804"/>
    <x v="1"/>
    <x v="1"/>
    <n v="42.9"/>
    <x v="550"/>
    <x v="34"/>
    <d v="2025-02-06T00:00:00"/>
    <s v="F"/>
    <x v="0"/>
    <x v="2"/>
    <x v="0"/>
    <x v="8"/>
    <x v="1"/>
    <x v="5"/>
    <x v="2"/>
  </r>
  <r>
    <x v="805"/>
    <x v="7"/>
    <x v="3"/>
    <n v="55.6"/>
    <x v="713"/>
    <x v="34"/>
    <d v="2025-02-06T00:00:00"/>
    <s v="F"/>
    <x v="2"/>
    <x v="1"/>
    <x v="0"/>
    <x v="8"/>
    <x v="1"/>
    <x v="5"/>
    <x v="2"/>
  </r>
  <r>
    <x v="806"/>
    <x v="8"/>
    <x v="12"/>
    <n v="19.2"/>
    <x v="714"/>
    <x v="34"/>
    <d v="2025-02-09T00:00:00"/>
    <s v="F"/>
    <x v="0"/>
    <x v="0"/>
    <x v="0"/>
    <x v="41"/>
    <x v="0"/>
    <x v="5"/>
    <x v="2"/>
  </r>
  <r>
    <x v="807"/>
    <x v="5"/>
    <x v="1"/>
    <n v="28.8"/>
    <x v="636"/>
    <x v="34"/>
    <d v="2025-02-06T00:00:00"/>
    <s v="M"/>
    <x v="1"/>
    <x v="0"/>
    <x v="0"/>
    <x v="18"/>
    <x v="1"/>
    <x v="5"/>
    <x v="1"/>
  </r>
  <r>
    <x v="808"/>
    <x v="4"/>
    <x v="0"/>
    <n v="29.7"/>
    <x v="47"/>
    <x v="34"/>
    <d v="2025-02-06T00:00:00"/>
    <s v="F"/>
    <x v="2"/>
    <x v="4"/>
    <x v="0"/>
    <x v="20"/>
    <x v="1"/>
    <x v="5"/>
    <x v="2"/>
  </r>
  <r>
    <x v="809"/>
    <x v="6"/>
    <x v="13"/>
    <n v="63.3"/>
    <x v="715"/>
    <x v="34"/>
    <d v="2025-02-05T00:00:00"/>
    <s v=""/>
    <x v="0"/>
    <x v="2"/>
    <x v="0"/>
    <x v="21"/>
    <x v="3"/>
    <x v="5"/>
    <x v="0"/>
  </r>
  <r>
    <x v="810"/>
    <x v="4"/>
    <x v="0"/>
    <n v="46"/>
    <x v="716"/>
    <x v="34"/>
    <d v="2025-02-05T00:00:00"/>
    <s v="F"/>
    <x v="0"/>
    <x v="2"/>
    <x v="0"/>
    <x v="21"/>
    <x v="3"/>
    <x v="5"/>
    <x v="2"/>
  </r>
  <r>
    <x v="811"/>
    <x v="11"/>
    <x v="2"/>
    <n v="38"/>
    <x v="717"/>
    <x v="34"/>
    <d v="2025-02-06T00:00:00"/>
    <s v="F"/>
    <x v="1"/>
    <x v="2"/>
    <x v="0"/>
    <x v="21"/>
    <x v="1"/>
    <x v="5"/>
    <x v="2"/>
  </r>
  <r>
    <x v="812"/>
    <x v="10"/>
    <x v="15"/>
    <n v="34.6"/>
    <x v="327"/>
    <x v="34"/>
    <d v="2025-02-06T00:00:00"/>
    <s v="F"/>
    <x v="0"/>
    <x v="1"/>
    <x v="0"/>
    <x v="21"/>
    <x v="1"/>
    <x v="5"/>
    <x v="2"/>
  </r>
  <r>
    <x v="813"/>
    <x v="3"/>
    <x v="7"/>
    <n v="79.7"/>
    <x v="718"/>
    <x v="34"/>
    <d v="2025-02-05T00:00:00"/>
    <s v="F"/>
    <x v="4"/>
    <x v="1"/>
    <x v="0"/>
    <x v="21"/>
    <x v="3"/>
    <x v="5"/>
    <x v="2"/>
  </r>
  <r>
    <x v="814"/>
    <x v="8"/>
    <x v="8"/>
    <n v="30.5"/>
    <x v="719"/>
    <x v="34"/>
    <d v="2025-02-08T00:00:00"/>
    <s v="M"/>
    <x v="3"/>
    <x v="0"/>
    <x v="0"/>
    <x v="1"/>
    <x v="5"/>
    <x v="5"/>
    <x v="1"/>
  </r>
  <r>
    <x v="815"/>
    <x v="0"/>
    <x v="1"/>
    <n v="20.8"/>
    <x v="480"/>
    <x v="34"/>
    <d v="2025-02-05T00:00:00"/>
    <s v="F"/>
    <x v="0"/>
    <x v="0"/>
    <x v="0"/>
    <x v="2"/>
    <x v="3"/>
    <x v="5"/>
    <x v="2"/>
  </r>
  <r>
    <x v="816"/>
    <x v="11"/>
    <x v="3"/>
    <n v="48.5"/>
    <x v="720"/>
    <x v="34"/>
    <d v="2025-02-08T00:00:00"/>
    <s v="F"/>
    <x v="2"/>
    <x v="2"/>
    <x v="0"/>
    <x v="2"/>
    <x v="5"/>
    <x v="5"/>
    <x v="2"/>
  </r>
  <r>
    <x v="817"/>
    <x v="2"/>
    <x v="12"/>
    <n v="61.8"/>
    <x v="721"/>
    <x v="34"/>
    <d v="2025-02-08T00:00:00"/>
    <s v="F"/>
    <x v="4"/>
    <x v="0"/>
    <x v="0"/>
    <x v="22"/>
    <x v="5"/>
    <x v="5"/>
    <x v="2"/>
  </r>
  <r>
    <x v="818"/>
    <x v="10"/>
    <x v="0"/>
    <n v="46.1"/>
    <x v="722"/>
    <x v="34"/>
    <d v="2025-02-05T00:00:00"/>
    <s v="O"/>
    <x v="2"/>
    <x v="0"/>
    <x v="0"/>
    <x v="3"/>
    <x v="3"/>
    <x v="5"/>
    <x v="3"/>
  </r>
  <r>
    <x v="819"/>
    <x v="4"/>
    <x v="13"/>
    <n v="44"/>
    <x v="723"/>
    <x v="34"/>
    <d v="2025-02-05T00:00:00"/>
    <s v="F"/>
    <x v="0"/>
    <x v="0"/>
    <x v="0"/>
    <x v="3"/>
    <x v="3"/>
    <x v="5"/>
    <x v="2"/>
  </r>
  <r>
    <x v="820"/>
    <x v="18"/>
    <x v="1"/>
    <n v="95.7"/>
    <x v="724"/>
    <x v="34"/>
    <d v="2025-02-10T00:00:00"/>
    <s v="F"/>
    <x v="3"/>
    <x v="2"/>
    <x v="0"/>
    <x v="3"/>
    <x v="4"/>
    <x v="5"/>
    <x v="2"/>
  </r>
  <r>
    <x v="821"/>
    <x v="7"/>
    <x v="9"/>
    <n v="46.4"/>
    <x v="615"/>
    <x v="34"/>
    <d v="2025-02-07T00:00:00"/>
    <s v="F"/>
    <x v="0"/>
    <x v="0"/>
    <x v="0"/>
    <x v="3"/>
    <x v="2"/>
    <x v="5"/>
    <x v="2"/>
  </r>
  <r>
    <x v="822"/>
    <x v="6"/>
    <x v="1"/>
    <n v="47.2"/>
    <x v="725"/>
    <x v="34"/>
    <d v="2025-02-06T00:00:00"/>
    <s v="F"/>
    <x v="0"/>
    <x v="2"/>
    <x v="0"/>
    <x v="3"/>
    <x v="1"/>
    <x v="5"/>
    <x v="2"/>
  </r>
  <r>
    <x v="823"/>
    <x v="7"/>
    <x v="1"/>
    <n v="58.6"/>
    <x v="726"/>
    <x v="34"/>
    <d v="2025-02-05T00:00:00"/>
    <s v="F"/>
    <x v="2"/>
    <x v="1"/>
    <x v="0"/>
    <x v="3"/>
    <x v="3"/>
    <x v="5"/>
    <x v="2"/>
  </r>
  <r>
    <x v="824"/>
    <x v="4"/>
    <x v="2"/>
    <n v="57"/>
    <x v="727"/>
    <x v="34"/>
    <d v="2025-02-05T00:00:00"/>
    <s v="M"/>
    <x v="0"/>
    <x v="2"/>
    <x v="0"/>
    <x v="3"/>
    <x v="3"/>
    <x v="5"/>
    <x v="1"/>
  </r>
  <r>
    <x v="825"/>
    <x v="8"/>
    <x v="12"/>
    <n v="28.9"/>
    <x v="446"/>
    <x v="34"/>
    <d v="2025-02-08T00:00:00"/>
    <s v="M"/>
    <x v="2"/>
    <x v="0"/>
    <x v="0"/>
    <x v="3"/>
    <x v="5"/>
    <x v="5"/>
    <x v="1"/>
  </r>
  <r>
    <x v="826"/>
    <x v="12"/>
    <x v="9"/>
    <n v="60.7"/>
    <x v="728"/>
    <x v="34"/>
    <d v="2025-02-08T00:00:00"/>
    <s v=""/>
    <x v="1"/>
    <x v="1"/>
    <x v="0"/>
    <x v="3"/>
    <x v="5"/>
    <x v="5"/>
    <x v="0"/>
  </r>
  <r>
    <x v="827"/>
    <x v="6"/>
    <x v="9"/>
    <n v="60.8"/>
    <x v="729"/>
    <x v="34"/>
    <d v="2025-02-08T00:00:00"/>
    <s v="M"/>
    <x v="0"/>
    <x v="1"/>
    <x v="0"/>
    <x v="3"/>
    <x v="5"/>
    <x v="5"/>
    <x v="1"/>
  </r>
  <r>
    <x v="828"/>
    <x v="6"/>
    <x v="9"/>
    <n v="64.599999999999994"/>
    <x v="730"/>
    <x v="34"/>
    <d v="2025-02-05T00:00:00"/>
    <s v="F"/>
    <x v="3"/>
    <x v="0"/>
    <x v="0"/>
    <x v="3"/>
    <x v="3"/>
    <x v="5"/>
    <x v="2"/>
  </r>
  <r>
    <x v="829"/>
    <x v="8"/>
    <x v="0"/>
    <n v="21.9"/>
    <x v="731"/>
    <x v="34"/>
    <d v="2025-02-07T00:00:00"/>
    <s v="M"/>
    <x v="1"/>
    <x v="2"/>
    <x v="0"/>
    <x v="4"/>
    <x v="2"/>
    <x v="5"/>
    <x v="1"/>
  </r>
  <r>
    <x v="830"/>
    <x v="4"/>
    <x v="4"/>
    <n v="33.4"/>
    <x v="732"/>
    <x v="34"/>
    <d v="2025-02-06T00:00:00"/>
    <s v="F"/>
    <x v="0"/>
    <x v="0"/>
    <x v="0"/>
    <x v="23"/>
    <x v="1"/>
    <x v="5"/>
    <x v="2"/>
  </r>
  <r>
    <x v="831"/>
    <x v="2"/>
    <x v="0"/>
    <n v="51.7"/>
    <x v="733"/>
    <x v="34"/>
    <d v="2025-02-05T00:00:00"/>
    <s v=""/>
    <x v="0"/>
    <x v="0"/>
    <x v="0"/>
    <x v="6"/>
    <x v="3"/>
    <x v="5"/>
    <x v="0"/>
  </r>
  <r>
    <x v="832"/>
    <x v="1"/>
    <x v="12"/>
    <n v="84.9"/>
    <x v="734"/>
    <x v="34"/>
    <d v="2025-02-05T00:00:00"/>
    <s v="F"/>
    <x v="1"/>
    <x v="1"/>
    <x v="0"/>
    <x v="6"/>
    <x v="3"/>
    <x v="5"/>
    <x v="2"/>
  </r>
  <r>
    <x v="833"/>
    <x v="1"/>
    <x v="5"/>
    <n v="62.3"/>
    <x v="735"/>
    <x v="34"/>
    <d v="2025-02-05T00:00:00"/>
    <s v="F"/>
    <x v="2"/>
    <x v="2"/>
    <x v="0"/>
    <x v="7"/>
    <x v="3"/>
    <x v="5"/>
    <x v="2"/>
  </r>
  <r>
    <x v="834"/>
    <x v="4"/>
    <x v="0"/>
    <n v="50.7"/>
    <x v="163"/>
    <x v="34"/>
    <d v="2025-02-06T00:00:00"/>
    <s v="M"/>
    <x v="2"/>
    <x v="2"/>
    <x v="0"/>
    <x v="8"/>
    <x v="1"/>
    <x v="5"/>
    <x v="1"/>
  </r>
  <r>
    <x v="835"/>
    <x v="18"/>
    <x v="0"/>
    <n v="39.5"/>
    <x v="736"/>
    <x v="34"/>
    <d v="2025-02-05T00:00:00"/>
    <s v="M"/>
    <x v="4"/>
    <x v="1"/>
    <x v="0"/>
    <x v="8"/>
    <x v="3"/>
    <x v="5"/>
    <x v="1"/>
  </r>
  <r>
    <x v="836"/>
    <x v="12"/>
    <x v="2"/>
    <n v="30.9"/>
    <x v="737"/>
    <x v="34"/>
    <d v="2025-02-05T00:00:00"/>
    <s v=""/>
    <x v="4"/>
    <x v="2"/>
    <x v="0"/>
    <x v="8"/>
    <x v="3"/>
    <x v="5"/>
    <x v="0"/>
  </r>
  <r>
    <x v="837"/>
    <x v="1"/>
    <x v="3"/>
    <n v="36.4"/>
    <x v="133"/>
    <x v="34"/>
    <d v="2025-02-07T00:00:00"/>
    <s v="F"/>
    <x v="0"/>
    <x v="2"/>
    <x v="0"/>
    <x v="8"/>
    <x v="2"/>
    <x v="5"/>
    <x v="2"/>
  </r>
  <r>
    <x v="838"/>
    <x v="6"/>
    <x v="8"/>
    <n v="105.6"/>
    <x v="738"/>
    <x v="34"/>
    <d v="2025-02-14T00:00:00"/>
    <s v="F"/>
    <x v="0"/>
    <x v="0"/>
    <x v="0"/>
    <x v="8"/>
    <x v="14"/>
    <x v="5"/>
    <x v="2"/>
  </r>
  <r>
    <x v="839"/>
    <x v="8"/>
    <x v="1"/>
    <n v="22.1"/>
    <x v="573"/>
    <x v="34"/>
    <d v="2025-02-05T00:00:00"/>
    <s v="F"/>
    <x v="0"/>
    <x v="2"/>
    <x v="0"/>
    <x v="17"/>
    <x v="3"/>
    <x v="5"/>
    <x v="2"/>
  </r>
  <r>
    <x v="840"/>
    <x v="0"/>
    <x v="2"/>
    <n v="22.6"/>
    <x v="418"/>
    <x v="34"/>
    <d v="2025-02-05T00:00:00"/>
    <s v="F"/>
    <x v="2"/>
    <x v="0"/>
    <x v="0"/>
    <x v="17"/>
    <x v="3"/>
    <x v="5"/>
    <x v="2"/>
  </r>
  <r>
    <x v="841"/>
    <x v="10"/>
    <x v="13"/>
    <n v="26.3"/>
    <x v="739"/>
    <x v="34"/>
    <d v="2025-02-04T00:00:00"/>
    <s v="F"/>
    <x v="2"/>
    <x v="0"/>
    <x v="0"/>
    <x v="9"/>
    <x v="7"/>
    <x v="5"/>
    <x v="2"/>
  </r>
  <r>
    <x v="842"/>
    <x v="1"/>
    <x v="12"/>
    <n v="37.799999999999997"/>
    <x v="277"/>
    <x v="34"/>
    <d v="2025-02-05T00:00:00"/>
    <s v="F"/>
    <x v="0"/>
    <x v="2"/>
    <x v="0"/>
    <x v="11"/>
    <x v="3"/>
    <x v="5"/>
    <x v="2"/>
  </r>
  <r>
    <x v="843"/>
    <x v="6"/>
    <x v="14"/>
    <n v="96"/>
    <x v="740"/>
    <x v="34"/>
    <d v="2025-02-07T00:00:00"/>
    <s v="F"/>
    <x v="4"/>
    <x v="1"/>
    <x v="0"/>
    <x v="18"/>
    <x v="2"/>
    <x v="5"/>
    <x v="2"/>
  </r>
  <r>
    <x v="844"/>
    <x v="1"/>
    <x v="0"/>
    <n v="83.6"/>
    <x v="681"/>
    <x v="34"/>
    <d v="2025-02-07T00:00:00"/>
    <s v="F"/>
    <x v="2"/>
    <x v="1"/>
    <x v="0"/>
    <x v="19"/>
    <x v="2"/>
    <x v="5"/>
    <x v="2"/>
  </r>
  <r>
    <x v="845"/>
    <x v="2"/>
    <x v="13"/>
    <n v="72.599999999999994"/>
    <x v="349"/>
    <x v="34"/>
    <d v="2025-02-05T00:00:00"/>
    <s v="F"/>
    <x v="0"/>
    <x v="0"/>
    <x v="0"/>
    <x v="21"/>
    <x v="3"/>
    <x v="5"/>
    <x v="2"/>
  </r>
  <r>
    <x v="846"/>
    <x v="5"/>
    <x v="28"/>
    <n v="69.099999999999994"/>
    <x v="741"/>
    <x v="35"/>
    <d v="2025-02-11T00:00:00"/>
    <s v="M"/>
    <x v="0"/>
    <x v="2"/>
    <x v="0"/>
    <x v="21"/>
    <x v="4"/>
    <x v="5"/>
    <x v="1"/>
  </r>
  <r>
    <x v="847"/>
    <x v="4"/>
    <x v="1"/>
    <n v="22.6"/>
    <x v="705"/>
    <x v="35"/>
    <d v="2025-02-07T00:00:00"/>
    <s v="F"/>
    <x v="1"/>
    <x v="2"/>
    <x v="0"/>
    <x v="21"/>
    <x v="1"/>
    <x v="5"/>
    <x v="2"/>
  </r>
  <r>
    <x v="848"/>
    <x v="6"/>
    <x v="1"/>
    <n v="45.3"/>
    <x v="742"/>
    <x v="35"/>
    <d v="2025-02-09T00:00:00"/>
    <s v="M"/>
    <x v="4"/>
    <x v="2"/>
    <x v="0"/>
    <x v="21"/>
    <x v="5"/>
    <x v="5"/>
    <x v="1"/>
  </r>
  <r>
    <x v="849"/>
    <x v="2"/>
    <x v="1"/>
    <n v="115.1"/>
    <x v="743"/>
    <x v="35"/>
    <d v="2025-02-06T00:00:00"/>
    <s v="F"/>
    <x v="1"/>
    <x v="0"/>
    <x v="0"/>
    <x v="1"/>
    <x v="3"/>
    <x v="5"/>
    <x v="2"/>
  </r>
  <r>
    <x v="850"/>
    <x v="18"/>
    <x v="12"/>
    <n v="79"/>
    <x v="744"/>
    <x v="35"/>
    <d v="2025-02-07T00:00:00"/>
    <s v="M"/>
    <x v="2"/>
    <x v="4"/>
    <x v="0"/>
    <x v="1"/>
    <x v="1"/>
    <x v="5"/>
    <x v="1"/>
  </r>
  <r>
    <x v="851"/>
    <x v="6"/>
    <x v="9"/>
    <n v="52.8"/>
    <x v="723"/>
    <x v="35"/>
    <d v="2025-02-06T00:00:00"/>
    <s v="F"/>
    <x v="0"/>
    <x v="0"/>
    <x v="0"/>
    <x v="42"/>
    <x v="3"/>
    <x v="5"/>
    <x v="2"/>
  </r>
  <r>
    <x v="852"/>
    <x v="8"/>
    <x v="1"/>
    <n v="34.1"/>
    <x v="745"/>
    <x v="35"/>
    <d v="2025-02-06T00:00:00"/>
    <s v="M"/>
    <x v="3"/>
    <x v="2"/>
    <x v="0"/>
    <x v="44"/>
    <x v="3"/>
    <x v="5"/>
    <x v="1"/>
  </r>
  <r>
    <x v="853"/>
    <x v="6"/>
    <x v="9"/>
    <n v="107.9"/>
    <x v="746"/>
    <x v="35"/>
    <d v="2025-02-05T00:00:00"/>
    <s v="F"/>
    <x v="0"/>
    <x v="2"/>
    <x v="0"/>
    <x v="50"/>
    <x v="7"/>
    <x v="5"/>
    <x v="2"/>
  </r>
  <r>
    <x v="854"/>
    <x v="8"/>
    <x v="15"/>
    <n v="48.5"/>
    <x v="747"/>
    <x v="35"/>
    <d v="2025-02-05T00:00:00"/>
    <s v="M"/>
    <x v="2"/>
    <x v="2"/>
    <x v="0"/>
    <x v="3"/>
    <x v="7"/>
    <x v="5"/>
    <x v="1"/>
  </r>
  <r>
    <x v="855"/>
    <x v="5"/>
    <x v="2"/>
    <n v="34.700000000000003"/>
    <x v="748"/>
    <x v="35"/>
    <d v="2025-02-06T00:00:00"/>
    <s v=""/>
    <x v="4"/>
    <x v="1"/>
    <x v="0"/>
    <x v="3"/>
    <x v="3"/>
    <x v="5"/>
    <x v="0"/>
  </r>
  <r>
    <x v="856"/>
    <x v="8"/>
    <x v="0"/>
    <n v="16.8"/>
    <x v="749"/>
    <x v="35"/>
    <d v="2025-02-07T00:00:00"/>
    <s v="F"/>
    <x v="3"/>
    <x v="0"/>
    <x v="0"/>
    <x v="3"/>
    <x v="1"/>
    <x v="5"/>
    <x v="2"/>
  </r>
  <r>
    <x v="857"/>
    <x v="8"/>
    <x v="13"/>
    <n v="18.3"/>
    <x v="17"/>
    <x v="35"/>
    <d v="2025-02-08T00:00:00"/>
    <s v="F"/>
    <x v="0"/>
    <x v="0"/>
    <x v="0"/>
    <x v="3"/>
    <x v="2"/>
    <x v="5"/>
    <x v="2"/>
  </r>
  <r>
    <x v="858"/>
    <x v="18"/>
    <x v="2"/>
    <n v="55.9"/>
    <x v="750"/>
    <x v="35"/>
    <d v="2025-02-11T00:00:00"/>
    <s v="M"/>
    <x v="3"/>
    <x v="1"/>
    <x v="0"/>
    <x v="3"/>
    <x v="4"/>
    <x v="5"/>
    <x v="1"/>
  </r>
  <r>
    <x v="859"/>
    <x v="8"/>
    <x v="2"/>
    <n v="39.200000000000003"/>
    <x v="557"/>
    <x v="35"/>
    <d v="2025-02-07T00:00:00"/>
    <s v="F"/>
    <x v="0"/>
    <x v="1"/>
    <x v="0"/>
    <x v="3"/>
    <x v="1"/>
    <x v="5"/>
    <x v="2"/>
  </r>
  <r>
    <x v="860"/>
    <x v="15"/>
    <x v="12"/>
    <n v="66.5"/>
    <x v="751"/>
    <x v="35"/>
    <d v="2025-02-07T00:00:00"/>
    <s v=""/>
    <x v="3"/>
    <x v="1"/>
    <x v="0"/>
    <x v="3"/>
    <x v="1"/>
    <x v="5"/>
    <x v="0"/>
  </r>
  <r>
    <x v="861"/>
    <x v="6"/>
    <x v="13"/>
    <n v="52.1"/>
    <x v="752"/>
    <x v="35"/>
    <d v="2025-02-07T00:00:00"/>
    <s v="M"/>
    <x v="1"/>
    <x v="1"/>
    <x v="0"/>
    <x v="16"/>
    <x v="1"/>
    <x v="5"/>
    <x v="1"/>
  </r>
  <r>
    <x v="862"/>
    <x v="8"/>
    <x v="1"/>
    <n v="19"/>
    <x v="753"/>
    <x v="35"/>
    <d v="2025-02-06T00:00:00"/>
    <s v="M"/>
    <x v="4"/>
    <x v="2"/>
    <x v="0"/>
    <x v="6"/>
    <x v="3"/>
    <x v="5"/>
    <x v="1"/>
  </r>
  <r>
    <x v="863"/>
    <x v="7"/>
    <x v="2"/>
    <n v="84.8"/>
    <x v="754"/>
    <x v="35"/>
    <d v="2025-02-07T00:00:00"/>
    <s v="F"/>
    <x v="2"/>
    <x v="0"/>
    <x v="0"/>
    <x v="8"/>
    <x v="1"/>
    <x v="5"/>
    <x v="2"/>
  </r>
  <r>
    <x v="864"/>
    <x v="2"/>
    <x v="12"/>
    <n v="63.9"/>
    <x v="755"/>
    <x v="35"/>
    <d v="2025-02-08T00:00:00"/>
    <s v="F"/>
    <x v="0"/>
    <x v="0"/>
    <x v="0"/>
    <x v="8"/>
    <x v="2"/>
    <x v="5"/>
    <x v="2"/>
  </r>
  <r>
    <x v="865"/>
    <x v="2"/>
    <x v="2"/>
    <n v="65.5"/>
    <x v="756"/>
    <x v="35"/>
    <d v="2025-02-05T00:00:00"/>
    <s v="F"/>
    <x v="1"/>
    <x v="1"/>
    <x v="0"/>
    <x v="8"/>
    <x v="7"/>
    <x v="5"/>
    <x v="2"/>
  </r>
  <r>
    <x v="866"/>
    <x v="12"/>
    <x v="1"/>
    <n v="116.2"/>
    <x v="757"/>
    <x v="35"/>
    <d v="2025-02-11T00:00:00"/>
    <s v="M"/>
    <x v="3"/>
    <x v="0"/>
    <x v="0"/>
    <x v="17"/>
    <x v="4"/>
    <x v="5"/>
    <x v="1"/>
  </r>
  <r>
    <x v="867"/>
    <x v="10"/>
    <x v="12"/>
    <n v="22.9"/>
    <x v="758"/>
    <x v="35"/>
    <d v="2025-02-07T00:00:00"/>
    <s v="F"/>
    <x v="2"/>
    <x v="1"/>
    <x v="0"/>
    <x v="38"/>
    <x v="1"/>
    <x v="5"/>
    <x v="2"/>
  </r>
  <r>
    <x v="868"/>
    <x v="10"/>
    <x v="2"/>
    <n v="53.7"/>
    <x v="759"/>
    <x v="35"/>
    <d v="2025-02-06T00:00:00"/>
    <s v="M"/>
    <x v="0"/>
    <x v="4"/>
    <x v="0"/>
    <x v="18"/>
    <x v="3"/>
    <x v="5"/>
    <x v="1"/>
  </r>
  <r>
    <x v="869"/>
    <x v="6"/>
    <x v="9"/>
    <n v="43.2"/>
    <x v="760"/>
    <x v="35"/>
    <d v="2025-02-07T00:00:00"/>
    <s v="F"/>
    <x v="0"/>
    <x v="0"/>
    <x v="0"/>
    <x v="19"/>
    <x v="1"/>
    <x v="5"/>
    <x v="2"/>
  </r>
  <r>
    <x v="870"/>
    <x v="1"/>
    <x v="2"/>
    <n v="84.5"/>
    <x v="103"/>
    <x v="35"/>
    <d v="2025-02-07T00:00:00"/>
    <s v="M"/>
    <x v="2"/>
    <x v="2"/>
    <x v="0"/>
    <x v="51"/>
    <x v="1"/>
    <x v="5"/>
    <x v="1"/>
  </r>
  <r>
    <x v="871"/>
    <x v="3"/>
    <x v="1"/>
    <n v="42.2"/>
    <x v="533"/>
    <x v="35"/>
    <d v="2025-02-06T00:00:00"/>
    <s v="F"/>
    <x v="1"/>
    <x v="2"/>
    <x v="0"/>
    <x v="1"/>
    <x v="3"/>
    <x v="5"/>
    <x v="2"/>
  </r>
  <r>
    <x v="872"/>
    <x v="2"/>
    <x v="13"/>
    <n v="94.7"/>
    <x v="761"/>
    <x v="35"/>
    <d v="2025-02-08T00:00:00"/>
    <s v="F"/>
    <x v="1"/>
    <x v="2"/>
    <x v="0"/>
    <x v="2"/>
    <x v="2"/>
    <x v="5"/>
    <x v="2"/>
  </r>
  <r>
    <x v="873"/>
    <x v="8"/>
    <x v="16"/>
    <n v="16.7"/>
    <x v="182"/>
    <x v="35"/>
    <d v="2025-02-17T00:00:00"/>
    <s v="F"/>
    <x v="0"/>
    <x v="2"/>
    <x v="0"/>
    <x v="2"/>
    <x v="13"/>
    <x v="5"/>
    <x v="2"/>
  </r>
  <r>
    <x v="874"/>
    <x v="2"/>
    <x v="1"/>
    <n v="83.6"/>
    <x v="762"/>
    <x v="35"/>
    <d v="2025-02-11T00:00:00"/>
    <s v="F"/>
    <x v="1"/>
    <x v="0"/>
    <x v="0"/>
    <x v="3"/>
    <x v="4"/>
    <x v="5"/>
    <x v="2"/>
  </r>
  <r>
    <x v="875"/>
    <x v="7"/>
    <x v="13"/>
    <n v="33.6"/>
    <x v="763"/>
    <x v="36"/>
    <d v="2025-02-07T00:00:00"/>
    <s v="F"/>
    <x v="3"/>
    <x v="0"/>
    <x v="0"/>
    <x v="3"/>
    <x v="3"/>
    <x v="5"/>
    <x v="2"/>
  </r>
  <r>
    <x v="876"/>
    <x v="7"/>
    <x v="1"/>
    <n v="64.7"/>
    <x v="385"/>
    <x v="36"/>
    <d v="2025-02-08T00:00:00"/>
    <s v="M"/>
    <x v="1"/>
    <x v="2"/>
    <x v="0"/>
    <x v="3"/>
    <x v="1"/>
    <x v="5"/>
    <x v="1"/>
  </r>
  <r>
    <x v="877"/>
    <x v="0"/>
    <x v="2"/>
    <n v="15.7"/>
    <x v="179"/>
    <x v="36"/>
    <d v="2025-02-12T00:00:00"/>
    <s v="F"/>
    <x v="0"/>
    <x v="0"/>
    <x v="0"/>
    <x v="3"/>
    <x v="4"/>
    <x v="5"/>
    <x v="2"/>
  </r>
  <r>
    <x v="878"/>
    <x v="15"/>
    <x v="13"/>
    <n v="49.4"/>
    <x v="764"/>
    <x v="36"/>
    <d v="2025-02-06T00:00:00"/>
    <s v="M"/>
    <x v="1"/>
    <x v="0"/>
    <x v="0"/>
    <x v="3"/>
    <x v="7"/>
    <x v="5"/>
    <x v="1"/>
  </r>
  <r>
    <x v="879"/>
    <x v="10"/>
    <x v="13"/>
    <n v="37"/>
    <x v="765"/>
    <x v="36"/>
    <d v="2025-02-09T00:00:00"/>
    <s v="F"/>
    <x v="1"/>
    <x v="2"/>
    <x v="0"/>
    <x v="3"/>
    <x v="2"/>
    <x v="5"/>
    <x v="2"/>
  </r>
  <r>
    <x v="880"/>
    <x v="2"/>
    <x v="1"/>
    <n v="83.7"/>
    <x v="589"/>
    <x v="36"/>
    <d v="2025-02-08T00:00:00"/>
    <s v="F"/>
    <x v="3"/>
    <x v="2"/>
    <x v="0"/>
    <x v="3"/>
    <x v="1"/>
    <x v="5"/>
    <x v="2"/>
  </r>
  <r>
    <x v="881"/>
    <x v="1"/>
    <x v="9"/>
    <n v="35.1"/>
    <x v="766"/>
    <x v="36"/>
    <d v="2025-02-07T00:00:00"/>
    <s v="F"/>
    <x v="0"/>
    <x v="0"/>
    <x v="0"/>
    <x v="3"/>
    <x v="3"/>
    <x v="5"/>
    <x v="2"/>
  </r>
  <r>
    <x v="882"/>
    <x v="16"/>
    <x v="8"/>
    <n v="74"/>
    <x v="767"/>
    <x v="36"/>
    <d v="2025-02-07T00:00:00"/>
    <s v="F"/>
    <x v="4"/>
    <x v="0"/>
    <x v="0"/>
    <x v="37"/>
    <x v="3"/>
    <x v="5"/>
    <x v="2"/>
  </r>
  <r>
    <x v="883"/>
    <x v="6"/>
    <x v="25"/>
    <n v="55.5"/>
    <x v="768"/>
    <x v="36"/>
    <d v="2025-02-09T00:00:00"/>
    <s v="M"/>
    <x v="3"/>
    <x v="0"/>
    <x v="0"/>
    <x v="49"/>
    <x v="2"/>
    <x v="5"/>
    <x v="1"/>
  </r>
  <r>
    <x v="884"/>
    <x v="11"/>
    <x v="1"/>
    <n v="38.9"/>
    <x v="482"/>
    <x v="36"/>
    <d v="2025-02-08T00:00:00"/>
    <s v="F"/>
    <x v="1"/>
    <x v="2"/>
    <x v="0"/>
    <x v="25"/>
    <x v="1"/>
    <x v="5"/>
    <x v="2"/>
  </r>
  <r>
    <x v="885"/>
    <x v="16"/>
    <x v="1"/>
    <n v="64.599999999999994"/>
    <x v="769"/>
    <x v="36"/>
    <d v="2025-02-13T00:00:00"/>
    <s v="M"/>
    <x v="2"/>
    <x v="1"/>
    <x v="0"/>
    <x v="25"/>
    <x v="6"/>
    <x v="5"/>
    <x v="1"/>
  </r>
  <r>
    <x v="886"/>
    <x v="2"/>
    <x v="2"/>
    <n v="95.3"/>
    <x v="770"/>
    <x v="36"/>
    <d v="2025-02-07T00:00:00"/>
    <s v="M"/>
    <x v="0"/>
    <x v="0"/>
    <x v="0"/>
    <x v="5"/>
    <x v="3"/>
    <x v="5"/>
    <x v="1"/>
  </r>
  <r>
    <x v="887"/>
    <x v="13"/>
    <x v="2"/>
    <n v="25.8"/>
    <x v="771"/>
    <x v="36"/>
    <d v="2025-02-07T00:00:00"/>
    <s v="F"/>
    <x v="1"/>
    <x v="1"/>
    <x v="0"/>
    <x v="6"/>
    <x v="3"/>
    <x v="5"/>
    <x v="2"/>
  </r>
  <r>
    <x v="888"/>
    <x v="0"/>
    <x v="1"/>
    <n v="11.6"/>
    <x v="772"/>
    <x v="36"/>
    <d v="2025-02-10T00:00:00"/>
    <s v="F"/>
    <x v="1"/>
    <x v="1"/>
    <x v="0"/>
    <x v="6"/>
    <x v="5"/>
    <x v="5"/>
    <x v="2"/>
  </r>
  <r>
    <x v="889"/>
    <x v="7"/>
    <x v="0"/>
    <n v="52.3"/>
    <x v="773"/>
    <x v="36"/>
    <d v="2025-02-07T00:00:00"/>
    <s v="F"/>
    <x v="1"/>
    <x v="0"/>
    <x v="0"/>
    <x v="8"/>
    <x v="3"/>
    <x v="5"/>
    <x v="2"/>
  </r>
  <r>
    <x v="890"/>
    <x v="2"/>
    <x v="7"/>
    <n v="112.2"/>
    <x v="774"/>
    <x v="36"/>
    <d v="2025-02-07T00:00:00"/>
    <s v="F"/>
    <x v="1"/>
    <x v="1"/>
    <x v="0"/>
    <x v="8"/>
    <x v="3"/>
    <x v="5"/>
    <x v="2"/>
  </r>
  <r>
    <x v="891"/>
    <x v="4"/>
    <x v="9"/>
    <n v="34.6"/>
    <x v="775"/>
    <x v="36"/>
    <d v="2025-02-08T00:00:00"/>
    <s v="M"/>
    <x v="2"/>
    <x v="0"/>
    <x v="0"/>
    <x v="8"/>
    <x v="1"/>
    <x v="5"/>
    <x v="1"/>
  </r>
  <r>
    <x v="892"/>
    <x v="14"/>
    <x v="12"/>
    <n v="20.100000000000001"/>
    <x v="48"/>
    <x v="36"/>
    <d v="2025-02-12T00:00:00"/>
    <s v="M"/>
    <x v="1"/>
    <x v="2"/>
    <x v="0"/>
    <x v="8"/>
    <x v="4"/>
    <x v="5"/>
    <x v="1"/>
  </r>
  <r>
    <x v="893"/>
    <x v="2"/>
    <x v="12"/>
    <n v="56.4"/>
    <x v="776"/>
    <x v="36"/>
    <d v="2025-02-08T00:00:00"/>
    <s v="F"/>
    <x v="2"/>
    <x v="0"/>
    <x v="0"/>
    <x v="10"/>
    <x v="1"/>
    <x v="5"/>
    <x v="2"/>
  </r>
  <r>
    <x v="894"/>
    <x v="13"/>
    <x v="11"/>
    <n v="55.3"/>
    <x v="777"/>
    <x v="36"/>
    <d v="2025-02-08T00:00:00"/>
    <s v="F"/>
    <x v="1"/>
    <x v="4"/>
    <x v="0"/>
    <x v="11"/>
    <x v="1"/>
    <x v="5"/>
    <x v="2"/>
  </r>
  <r>
    <x v="895"/>
    <x v="2"/>
    <x v="31"/>
    <n v="75.5"/>
    <x v="778"/>
    <x v="36"/>
    <d v="2025-02-07T00:00:00"/>
    <s v="F"/>
    <x v="0"/>
    <x v="0"/>
    <x v="0"/>
    <x v="11"/>
    <x v="3"/>
    <x v="5"/>
    <x v="2"/>
  </r>
  <r>
    <x v="896"/>
    <x v="8"/>
    <x v="0"/>
    <n v="23.6"/>
    <x v="779"/>
    <x v="36"/>
    <d v="2025-02-11T00:00:00"/>
    <s v="F"/>
    <x v="0"/>
    <x v="0"/>
    <x v="0"/>
    <x v="19"/>
    <x v="0"/>
    <x v="5"/>
    <x v="2"/>
  </r>
  <r>
    <x v="897"/>
    <x v="9"/>
    <x v="1"/>
    <n v="70.7"/>
    <x v="780"/>
    <x v="36"/>
    <d v="2025-02-08T00:00:00"/>
    <s v="F"/>
    <x v="2"/>
    <x v="0"/>
    <x v="0"/>
    <x v="19"/>
    <x v="1"/>
    <x v="5"/>
    <x v="2"/>
  </r>
  <r>
    <x v="898"/>
    <x v="12"/>
    <x v="1"/>
    <n v="43.2"/>
    <x v="781"/>
    <x v="36"/>
    <d v="2025-02-07T00:00:00"/>
    <s v="F"/>
    <x v="2"/>
    <x v="0"/>
    <x v="0"/>
    <x v="31"/>
    <x v="3"/>
    <x v="5"/>
    <x v="2"/>
  </r>
  <r>
    <x v="899"/>
    <x v="9"/>
    <x v="11"/>
    <n v="70"/>
    <x v="782"/>
    <x v="36"/>
    <d v="2025-02-07T00:00:00"/>
    <s v=""/>
    <x v="1"/>
    <x v="0"/>
    <x v="0"/>
    <x v="52"/>
    <x v="3"/>
    <x v="5"/>
    <x v="0"/>
  </r>
  <r>
    <x v="900"/>
    <x v="0"/>
    <x v="1"/>
    <n v="20.5"/>
    <x v="783"/>
    <x v="36"/>
    <d v="2025-02-08T00:00:00"/>
    <s v="F"/>
    <x v="2"/>
    <x v="4"/>
    <x v="0"/>
    <x v="13"/>
    <x v="1"/>
    <x v="5"/>
    <x v="2"/>
  </r>
  <r>
    <x v="901"/>
    <x v="0"/>
    <x v="12"/>
    <n v="29.1"/>
    <x v="565"/>
    <x v="36"/>
    <d v="2025-02-07T00:00:00"/>
    <s v="F"/>
    <x v="3"/>
    <x v="0"/>
    <x v="0"/>
    <x v="28"/>
    <x v="3"/>
    <x v="5"/>
    <x v="2"/>
  </r>
  <r>
    <x v="902"/>
    <x v="6"/>
    <x v="11"/>
    <n v="53.6"/>
    <x v="784"/>
    <x v="36"/>
    <d v="2025-02-07T00:00:00"/>
    <s v="M"/>
    <x v="2"/>
    <x v="1"/>
    <x v="0"/>
    <x v="3"/>
    <x v="3"/>
    <x v="5"/>
    <x v="1"/>
  </r>
  <r>
    <x v="903"/>
    <x v="6"/>
    <x v="9"/>
    <n v="72.3"/>
    <x v="785"/>
    <x v="36"/>
    <d v="2025-02-08T00:00:00"/>
    <s v="F"/>
    <x v="1"/>
    <x v="0"/>
    <x v="0"/>
    <x v="3"/>
    <x v="1"/>
    <x v="5"/>
    <x v="2"/>
  </r>
  <r>
    <x v="904"/>
    <x v="13"/>
    <x v="12"/>
    <n v="22.6"/>
    <x v="786"/>
    <x v="36"/>
    <d v="2025-02-09T00:00:00"/>
    <s v="O"/>
    <x v="0"/>
    <x v="1"/>
    <x v="0"/>
    <x v="3"/>
    <x v="2"/>
    <x v="5"/>
    <x v="3"/>
  </r>
  <r>
    <x v="905"/>
    <x v="9"/>
    <x v="1"/>
    <n v="44.2"/>
    <x v="787"/>
    <x v="36"/>
    <d v="2025-02-10T00:00:00"/>
    <s v=""/>
    <x v="2"/>
    <x v="4"/>
    <x v="0"/>
    <x v="3"/>
    <x v="5"/>
    <x v="5"/>
    <x v="0"/>
  </r>
  <r>
    <x v="906"/>
    <x v="9"/>
    <x v="2"/>
    <n v="94.1"/>
    <x v="788"/>
    <x v="36"/>
    <d v="2025-02-19T00:00:00"/>
    <s v="F"/>
    <x v="2"/>
    <x v="2"/>
    <x v="0"/>
    <x v="3"/>
    <x v="10"/>
    <x v="5"/>
    <x v="2"/>
  </r>
  <r>
    <x v="907"/>
    <x v="8"/>
    <x v="2"/>
    <n v="17.899999999999999"/>
    <x v="789"/>
    <x v="36"/>
    <d v="2025-02-08T00:00:00"/>
    <s v="M"/>
    <x v="1"/>
    <x v="1"/>
    <x v="0"/>
    <x v="3"/>
    <x v="1"/>
    <x v="5"/>
    <x v="1"/>
  </r>
  <r>
    <x v="908"/>
    <x v="12"/>
    <x v="3"/>
    <n v="52.7"/>
    <x v="790"/>
    <x v="36"/>
    <d v="2025-02-07T00:00:00"/>
    <s v="M"/>
    <x v="1"/>
    <x v="1"/>
    <x v="0"/>
    <x v="3"/>
    <x v="3"/>
    <x v="5"/>
    <x v="1"/>
  </r>
  <r>
    <x v="909"/>
    <x v="8"/>
    <x v="0"/>
    <n v="36.799999999999997"/>
    <x v="791"/>
    <x v="36"/>
    <d v="2025-02-06T00:00:00"/>
    <s v=""/>
    <x v="0"/>
    <x v="2"/>
    <x v="0"/>
    <x v="3"/>
    <x v="7"/>
    <x v="5"/>
    <x v="0"/>
  </r>
  <r>
    <x v="910"/>
    <x v="4"/>
    <x v="0"/>
    <n v="52.5"/>
    <x v="413"/>
    <x v="36"/>
    <d v="2025-02-07T00:00:00"/>
    <s v="M"/>
    <x v="0"/>
    <x v="1"/>
    <x v="0"/>
    <x v="6"/>
    <x v="3"/>
    <x v="5"/>
    <x v="1"/>
  </r>
  <r>
    <x v="911"/>
    <x v="2"/>
    <x v="1"/>
    <n v="133.80000000000001"/>
    <x v="792"/>
    <x v="36"/>
    <d v="2025-02-08T00:00:00"/>
    <s v="M"/>
    <x v="0"/>
    <x v="1"/>
    <x v="0"/>
    <x v="7"/>
    <x v="1"/>
    <x v="5"/>
    <x v="1"/>
  </r>
  <r>
    <x v="912"/>
    <x v="6"/>
    <x v="1"/>
    <n v="53.2"/>
    <x v="793"/>
    <x v="36"/>
    <d v="2025-02-08T00:00:00"/>
    <s v="M"/>
    <x v="0"/>
    <x v="0"/>
    <x v="0"/>
    <x v="17"/>
    <x v="1"/>
    <x v="5"/>
    <x v="1"/>
  </r>
  <r>
    <x v="913"/>
    <x v="14"/>
    <x v="13"/>
    <n v="18.7"/>
    <x v="794"/>
    <x v="36"/>
    <d v="2025-02-08T00:00:00"/>
    <s v=""/>
    <x v="0"/>
    <x v="1"/>
    <x v="0"/>
    <x v="10"/>
    <x v="1"/>
    <x v="5"/>
    <x v="0"/>
  </r>
  <r>
    <x v="914"/>
    <x v="6"/>
    <x v="12"/>
    <n v="108.8"/>
    <x v="795"/>
    <x v="36"/>
    <d v="2025-02-07T00:00:00"/>
    <s v="F"/>
    <x v="3"/>
    <x v="2"/>
    <x v="0"/>
    <x v="11"/>
    <x v="3"/>
    <x v="5"/>
    <x v="2"/>
  </r>
  <r>
    <x v="915"/>
    <x v="15"/>
    <x v="9"/>
    <n v="38.5"/>
    <x v="796"/>
    <x v="36"/>
    <d v="2025-02-10T00:00:00"/>
    <s v="F"/>
    <x v="0"/>
    <x v="1"/>
    <x v="0"/>
    <x v="14"/>
    <x v="5"/>
    <x v="5"/>
    <x v="2"/>
  </r>
  <r>
    <x v="916"/>
    <x v="10"/>
    <x v="7"/>
    <n v="46.5"/>
    <x v="797"/>
    <x v="36"/>
    <d v="2025-02-08T00:00:00"/>
    <s v="M"/>
    <x v="2"/>
    <x v="1"/>
    <x v="0"/>
    <x v="2"/>
    <x v="1"/>
    <x v="5"/>
    <x v="1"/>
  </r>
  <r>
    <x v="917"/>
    <x v="2"/>
    <x v="2"/>
    <n v="75.8"/>
    <x v="129"/>
    <x v="36"/>
    <d v="2025-02-10T00:00:00"/>
    <s v="F"/>
    <x v="1"/>
    <x v="4"/>
    <x v="0"/>
    <x v="44"/>
    <x v="5"/>
    <x v="5"/>
    <x v="2"/>
  </r>
  <r>
    <x v="918"/>
    <x v="8"/>
    <x v="0"/>
    <n v="20.9"/>
    <x v="798"/>
    <x v="36"/>
    <d v="2025-02-10T00:00:00"/>
    <s v="M"/>
    <x v="0"/>
    <x v="0"/>
    <x v="0"/>
    <x v="22"/>
    <x v="5"/>
    <x v="5"/>
    <x v="1"/>
  </r>
  <r>
    <x v="919"/>
    <x v="18"/>
    <x v="2"/>
    <n v="47.4"/>
    <x v="60"/>
    <x v="36"/>
    <d v="2025-02-09T00:00:00"/>
    <s v="F"/>
    <x v="0"/>
    <x v="0"/>
    <x v="0"/>
    <x v="3"/>
    <x v="2"/>
    <x v="5"/>
    <x v="2"/>
  </r>
  <r>
    <x v="920"/>
    <x v="9"/>
    <x v="1"/>
    <n v="53.8"/>
    <x v="799"/>
    <x v="36"/>
    <d v="2025-02-07T00:00:00"/>
    <s v=""/>
    <x v="0"/>
    <x v="1"/>
    <x v="0"/>
    <x v="3"/>
    <x v="3"/>
    <x v="5"/>
    <x v="0"/>
  </r>
  <r>
    <x v="921"/>
    <x v="8"/>
    <x v="2"/>
    <n v="24.6"/>
    <x v="800"/>
    <x v="36"/>
    <d v="2025-02-08T00:00:00"/>
    <s v="O"/>
    <x v="1"/>
    <x v="2"/>
    <x v="0"/>
    <x v="3"/>
    <x v="1"/>
    <x v="5"/>
    <x v="3"/>
  </r>
  <r>
    <x v="922"/>
    <x v="9"/>
    <x v="2"/>
    <n v="70.900000000000006"/>
    <x v="801"/>
    <x v="36"/>
    <d v="2025-02-11T00:00:00"/>
    <s v="F"/>
    <x v="2"/>
    <x v="2"/>
    <x v="0"/>
    <x v="3"/>
    <x v="0"/>
    <x v="5"/>
    <x v="2"/>
  </r>
  <r>
    <x v="923"/>
    <x v="17"/>
    <x v="2"/>
    <n v="31.9"/>
    <x v="802"/>
    <x v="36"/>
    <d v="2025-02-08T00:00:00"/>
    <s v="F"/>
    <x v="2"/>
    <x v="2"/>
    <x v="0"/>
    <x v="3"/>
    <x v="1"/>
    <x v="5"/>
    <x v="2"/>
  </r>
  <r>
    <x v="924"/>
    <x v="0"/>
    <x v="1"/>
    <n v="20.399999999999999"/>
    <x v="803"/>
    <x v="36"/>
    <d v="2025-02-10T00:00:00"/>
    <s v="M"/>
    <x v="3"/>
    <x v="2"/>
    <x v="0"/>
    <x v="3"/>
    <x v="5"/>
    <x v="5"/>
    <x v="1"/>
  </r>
  <r>
    <x v="925"/>
    <x v="8"/>
    <x v="1"/>
    <n v="18.600000000000001"/>
    <x v="804"/>
    <x v="36"/>
    <d v="2025-02-08T00:00:00"/>
    <s v=""/>
    <x v="0"/>
    <x v="1"/>
    <x v="0"/>
    <x v="3"/>
    <x v="1"/>
    <x v="5"/>
    <x v="0"/>
  </r>
  <r>
    <x v="926"/>
    <x v="4"/>
    <x v="9"/>
    <n v="48.3"/>
    <x v="805"/>
    <x v="36"/>
    <d v="2025-02-08T00:00:00"/>
    <s v="F"/>
    <x v="1"/>
    <x v="0"/>
    <x v="0"/>
    <x v="3"/>
    <x v="1"/>
    <x v="5"/>
    <x v="2"/>
  </r>
  <r>
    <x v="927"/>
    <x v="0"/>
    <x v="12"/>
    <n v="27.7"/>
    <x v="806"/>
    <x v="36"/>
    <d v="2025-02-08T00:00:00"/>
    <s v="F"/>
    <x v="0"/>
    <x v="0"/>
    <x v="0"/>
    <x v="3"/>
    <x v="1"/>
    <x v="5"/>
    <x v="2"/>
  </r>
  <r>
    <x v="928"/>
    <x v="4"/>
    <x v="9"/>
    <n v="22.5"/>
    <x v="158"/>
    <x v="36"/>
    <d v="2025-02-08T00:00:00"/>
    <s v="F"/>
    <x v="4"/>
    <x v="2"/>
    <x v="0"/>
    <x v="3"/>
    <x v="1"/>
    <x v="5"/>
    <x v="2"/>
  </r>
  <r>
    <x v="929"/>
    <x v="17"/>
    <x v="9"/>
    <n v="21.6"/>
    <x v="807"/>
    <x v="36"/>
    <d v="2025-02-14T00:00:00"/>
    <s v="F"/>
    <x v="0"/>
    <x v="1"/>
    <x v="0"/>
    <x v="3"/>
    <x v="9"/>
    <x v="5"/>
    <x v="2"/>
  </r>
  <r>
    <x v="930"/>
    <x v="10"/>
    <x v="3"/>
    <n v="26.3"/>
    <x v="808"/>
    <x v="36"/>
    <d v="2025-02-06T00:00:00"/>
    <s v="F"/>
    <x v="2"/>
    <x v="1"/>
    <x v="0"/>
    <x v="3"/>
    <x v="7"/>
    <x v="5"/>
    <x v="2"/>
  </r>
  <r>
    <x v="931"/>
    <x v="6"/>
    <x v="3"/>
    <n v="103"/>
    <x v="809"/>
    <x v="37"/>
    <d v="2025-02-08T00:00:00"/>
    <s v="M"/>
    <x v="0"/>
    <x v="2"/>
    <x v="0"/>
    <x v="6"/>
    <x v="3"/>
    <x v="5"/>
    <x v="1"/>
  </r>
  <r>
    <x v="932"/>
    <x v="5"/>
    <x v="20"/>
    <n v="46.6"/>
    <x v="810"/>
    <x v="37"/>
    <d v="2025-02-08T00:00:00"/>
    <s v="F"/>
    <x v="0"/>
    <x v="1"/>
    <x v="0"/>
    <x v="6"/>
    <x v="3"/>
    <x v="5"/>
    <x v="2"/>
  </r>
  <r>
    <x v="933"/>
    <x v="0"/>
    <x v="9"/>
    <n v="32.200000000000003"/>
    <x v="811"/>
    <x v="37"/>
    <d v="2025-02-10T00:00:00"/>
    <s v="F"/>
    <x v="0"/>
    <x v="2"/>
    <x v="0"/>
    <x v="36"/>
    <x v="2"/>
    <x v="5"/>
    <x v="2"/>
  </r>
  <r>
    <x v="934"/>
    <x v="8"/>
    <x v="2"/>
    <n v="22"/>
    <x v="812"/>
    <x v="37"/>
    <d v="2025-02-14T00:00:00"/>
    <s v="M"/>
    <x v="1"/>
    <x v="0"/>
    <x v="0"/>
    <x v="7"/>
    <x v="6"/>
    <x v="5"/>
    <x v="1"/>
  </r>
  <r>
    <x v="935"/>
    <x v="0"/>
    <x v="1"/>
    <n v="25.2"/>
    <x v="813"/>
    <x v="37"/>
    <d v="2025-02-11T00:00:00"/>
    <s v="F"/>
    <x v="0"/>
    <x v="0"/>
    <x v="0"/>
    <x v="7"/>
    <x v="5"/>
    <x v="5"/>
    <x v="2"/>
  </r>
  <r>
    <x v="936"/>
    <x v="1"/>
    <x v="13"/>
    <n v="68.7"/>
    <x v="814"/>
    <x v="37"/>
    <d v="2025-02-09T00:00:00"/>
    <s v="M"/>
    <x v="4"/>
    <x v="0"/>
    <x v="0"/>
    <x v="8"/>
    <x v="1"/>
    <x v="5"/>
    <x v="1"/>
  </r>
  <r>
    <x v="937"/>
    <x v="0"/>
    <x v="2"/>
    <n v="22.2"/>
    <x v="815"/>
    <x v="37"/>
    <d v="2025-02-10T00:00:00"/>
    <s v="M"/>
    <x v="2"/>
    <x v="2"/>
    <x v="0"/>
    <x v="8"/>
    <x v="2"/>
    <x v="5"/>
    <x v="1"/>
  </r>
  <r>
    <x v="938"/>
    <x v="1"/>
    <x v="3"/>
    <n v="36"/>
    <x v="816"/>
    <x v="37"/>
    <d v="2025-02-08T00:00:00"/>
    <s v="F"/>
    <x v="1"/>
    <x v="0"/>
    <x v="0"/>
    <x v="8"/>
    <x v="3"/>
    <x v="5"/>
    <x v="2"/>
  </r>
  <r>
    <x v="939"/>
    <x v="18"/>
    <x v="0"/>
    <n v="50.6"/>
    <x v="578"/>
    <x v="37"/>
    <d v="2025-02-09T00:00:00"/>
    <s v="F"/>
    <x v="0"/>
    <x v="1"/>
    <x v="0"/>
    <x v="8"/>
    <x v="1"/>
    <x v="5"/>
    <x v="2"/>
  </r>
  <r>
    <x v="940"/>
    <x v="15"/>
    <x v="1"/>
    <n v="44.9"/>
    <x v="817"/>
    <x v="37"/>
    <d v="2025-02-09T00:00:00"/>
    <s v="M"/>
    <x v="0"/>
    <x v="1"/>
    <x v="0"/>
    <x v="8"/>
    <x v="1"/>
    <x v="5"/>
    <x v="1"/>
  </r>
  <r>
    <x v="941"/>
    <x v="6"/>
    <x v="2"/>
    <n v="71.599999999999994"/>
    <x v="818"/>
    <x v="37"/>
    <d v="2025-02-11T00:00:00"/>
    <s v="M"/>
    <x v="1"/>
    <x v="2"/>
    <x v="0"/>
    <x v="10"/>
    <x v="5"/>
    <x v="5"/>
    <x v="1"/>
  </r>
  <r>
    <x v="942"/>
    <x v="6"/>
    <x v="13"/>
    <n v="51.5"/>
    <x v="15"/>
    <x v="37"/>
    <d v="2025-02-09T00:00:00"/>
    <s v=""/>
    <x v="4"/>
    <x v="0"/>
    <x v="0"/>
    <x v="11"/>
    <x v="1"/>
    <x v="5"/>
    <x v="0"/>
  </r>
  <r>
    <x v="943"/>
    <x v="7"/>
    <x v="9"/>
    <n v="55.5"/>
    <x v="819"/>
    <x v="37"/>
    <d v="2025-02-08T00:00:00"/>
    <s v="M"/>
    <x v="1"/>
    <x v="1"/>
    <x v="0"/>
    <x v="11"/>
    <x v="3"/>
    <x v="5"/>
    <x v="1"/>
  </r>
  <r>
    <x v="944"/>
    <x v="6"/>
    <x v="0"/>
    <n v="51.7"/>
    <x v="733"/>
    <x v="37"/>
    <d v="2025-02-21T00:00:00"/>
    <s v="M"/>
    <x v="2"/>
    <x v="0"/>
    <x v="0"/>
    <x v="19"/>
    <x v="12"/>
    <x v="5"/>
    <x v="1"/>
  </r>
  <r>
    <x v="945"/>
    <x v="8"/>
    <x v="38"/>
    <n v="45.5"/>
    <x v="820"/>
    <x v="37"/>
    <d v="2025-02-08T00:00:00"/>
    <s v="F"/>
    <x v="3"/>
    <x v="2"/>
    <x v="0"/>
    <x v="19"/>
    <x v="3"/>
    <x v="5"/>
    <x v="2"/>
  </r>
  <r>
    <x v="946"/>
    <x v="8"/>
    <x v="1"/>
    <n v="33.799999999999997"/>
    <x v="821"/>
    <x v="37"/>
    <d v="2025-02-13T00:00:00"/>
    <s v="F"/>
    <x v="3"/>
    <x v="0"/>
    <x v="0"/>
    <x v="20"/>
    <x v="4"/>
    <x v="5"/>
    <x v="2"/>
  </r>
  <r>
    <x v="947"/>
    <x v="3"/>
    <x v="2"/>
    <n v="76.5"/>
    <x v="822"/>
    <x v="37"/>
    <d v="2025-02-08T00:00:00"/>
    <s v="F"/>
    <x v="0"/>
    <x v="1"/>
    <x v="0"/>
    <x v="21"/>
    <x v="3"/>
    <x v="5"/>
    <x v="2"/>
  </r>
  <r>
    <x v="948"/>
    <x v="9"/>
    <x v="2"/>
    <n v="42.6"/>
    <x v="823"/>
    <x v="37"/>
    <d v="2025-02-13T00:00:00"/>
    <s v="F"/>
    <x v="2"/>
    <x v="2"/>
    <x v="0"/>
    <x v="2"/>
    <x v="4"/>
    <x v="5"/>
    <x v="2"/>
  </r>
  <r>
    <x v="949"/>
    <x v="6"/>
    <x v="2"/>
    <n v="44.1"/>
    <x v="431"/>
    <x v="37"/>
    <d v="2025-02-09T00:00:00"/>
    <s v="F"/>
    <x v="1"/>
    <x v="1"/>
    <x v="0"/>
    <x v="22"/>
    <x v="1"/>
    <x v="5"/>
    <x v="2"/>
  </r>
  <r>
    <x v="950"/>
    <x v="8"/>
    <x v="1"/>
    <n v="40.9"/>
    <x v="673"/>
    <x v="37"/>
    <d v="2025-02-11T00:00:00"/>
    <s v="M"/>
    <x v="0"/>
    <x v="0"/>
    <x v="0"/>
    <x v="3"/>
    <x v="5"/>
    <x v="5"/>
    <x v="1"/>
  </r>
  <r>
    <x v="951"/>
    <x v="9"/>
    <x v="2"/>
    <n v="49.1"/>
    <x v="824"/>
    <x v="37"/>
    <d v="2025-02-11T00:00:00"/>
    <s v="F"/>
    <x v="3"/>
    <x v="1"/>
    <x v="0"/>
    <x v="3"/>
    <x v="5"/>
    <x v="5"/>
    <x v="2"/>
  </r>
  <r>
    <x v="952"/>
    <x v="18"/>
    <x v="0"/>
    <n v="85.3"/>
    <x v="825"/>
    <x v="37"/>
    <d v="2025-02-11T00:00:00"/>
    <s v="M"/>
    <x v="1"/>
    <x v="1"/>
    <x v="0"/>
    <x v="3"/>
    <x v="5"/>
    <x v="5"/>
    <x v="1"/>
  </r>
  <r>
    <x v="953"/>
    <x v="6"/>
    <x v="12"/>
    <n v="43.1"/>
    <x v="826"/>
    <x v="38"/>
    <d v="2025-02-11T00:00:00"/>
    <s v="M"/>
    <x v="0"/>
    <x v="0"/>
    <x v="0"/>
    <x v="3"/>
    <x v="2"/>
    <x v="5"/>
    <x v="1"/>
  </r>
  <r>
    <x v="954"/>
    <x v="4"/>
    <x v="12"/>
    <n v="46.2"/>
    <x v="827"/>
    <x v="38"/>
    <d v="2025-02-09T00:00:00"/>
    <s v="M"/>
    <x v="2"/>
    <x v="0"/>
    <x v="0"/>
    <x v="3"/>
    <x v="3"/>
    <x v="5"/>
    <x v="1"/>
  </r>
  <r>
    <x v="955"/>
    <x v="1"/>
    <x v="0"/>
    <n v="74.400000000000006"/>
    <x v="610"/>
    <x v="38"/>
    <d v="2025-02-10T00:00:00"/>
    <s v="M"/>
    <x v="4"/>
    <x v="2"/>
    <x v="0"/>
    <x v="3"/>
    <x v="1"/>
    <x v="5"/>
    <x v="1"/>
  </r>
  <r>
    <x v="956"/>
    <x v="17"/>
    <x v="1"/>
    <n v="51.2"/>
    <x v="298"/>
    <x v="38"/>
    <d v="2025-02-09T00:00:00"/>
    <s v="M"/>
    <x v="1"/>
    <x v="0"/>
    <x v="0"/>
    <x v="3"/>
    <x v="3"/>
    <x v="5"/>
    <x v="1"/>
  </r>
  <r>
    <x v="957"/>
    <x v="14"/>
    <x v="12"/>
    <n v="11.8"/>
    <x v="828"/>
    <x v="38"/>
    <d v="2025-02-08T00:00:00"/>
    <s v="M"/>
    <x v="2"/>
    <x v="0"/>
    <x v="0"/>
    <x v="3"/>
    <x v="7"/>
    <x v="5"/>
    <x v="1"/>
  </r>
  <r>
    <x v="958"/>
    <x v="10"/>
    <x v="6"/>
    <n v="40.799999999999997"/>
    <x v="829"/>
    <x v="38"/>
    <d v="2025-02-09T00:00:00"/>
    <s v="F"/>
    <x v="3"/>
    <x v="2"/>
    <x v="0"/>
    <x v="3"/>
    <x v="3"/>
    <x v="5"/>
    <x v="2"/>
  </r>
  <r>
    <x v="959"/>
    <x v="8"/>
    <x v="0"/>
    <n v="24.7"/>
    <x v="830"/>
    <x v="38"/>
    <d v="2025-02-10T00:00:00"/>
    <s v="F"/>
    <x v="2"/>
    <x v="1"/>
    <x v="0"/>
    <x v="3"/>
    <x v="1"/>
    <x v="5"/>
    <x v="2"/>
  </r>
  <r>
    <x v="960"/>
    <x v="8"/>
    <x v="3"/>
    <n v="22.1"/>
    <x v="831"/>
    <x v="38"/>
    <d v="2025-02-08T00:00:00"/>
    <s v="F"/>
    <x v="2"/>
    <x v="4"/>
    <x v="0"/>
    <x v="3"/>
    <x v="7"/>
    <x v="5"/>
    <x v="2"/>
  </r>
  <r>
    <x v="961"/>
    <x v="8"/>
    <x v="0"/>
    <n v="18.100000000000001"/>
    <x v="832"/>
    <x v="38"/>
    <d v="2025-02-12T00:00:00"/>
    <s v="M"/>
    <x v="3"/>
    <x v="2"/>
    <x v="0"/>
    <x v="3"/>
    <x v="5"/>
    <x v="5"/>
    <x v="1"/>
  </r>
  <r>
    <x v="962"/>
    <x v="17"/>
    <x v="1"/>
    <n v="58.8"/>
    <x v="833"/>
    <x v="38"/>
    <d v="2025-02-11T00:00:00"/>
    <s v="F"/>
    <x v="0"/>
    <x v="0"/>
    <x v="0"/>
    <x v="25"/>
    <x v="2"/>
    <x v="5"/>
    <x v="2"/>
  </r>
  <r>
    <x v="963"/>
    <x v="18"/>
    <x v="1"/>
    <n v="30.8"/>
    <x v="834"/>
    <x v="38"/>
    <d v="2025-02-09T00:00:00"/>
    <s v="F"/>
    <x v="0"/>
    <x v="0"/>
    <x v="0"/>
    <x v="6"/>
    <x v="3"/>
    <x v="5"/>
    <x v="2"/>
  </r>
  <r>
    <x v="964"/>
    <x v="0"/>
    <x v="1"/>
    <n v="12"/>
    <x v="835"/>
    <x v="38"/>
    <d v="2025-02-12T00:00:00"/>
    <s v="F"/>
    <x v="0"/>
    <x v="0"/>
    <x v="0"/>
    <x v="6"/>
    <x v="5"/>
    <x v="5"/>
    <x v="2"/>
  </r>
  <r>
    <x v="965"/>
    <x v="0"/>
    <x v="12"/>
    <n v="13.6"/>
    <x v="630"/>
    <x v="38"/>
    <d v="2025-02-11T00:00:00"/>
    <s v="M"/>
    <x v="2"/>
    <x v="0"/>
    <x v="0"/>
    <x v="6"/>
    <x v="2"/>
    <x v="5"/>
    <x v="1"/>
  </r>
  <r>
    <x v="966"/>
    <x v="0"/>
    <x v="0"/>
    <n v="17.899999999999999"/>
    <x v="836"/>
    <x v="38"/>
    <d v="2025-02-09T00:00:00"/>
    <s v="M"/>
    <x v="3"/>
    <x v="0"/>
    <x v="0"/>
    <x v="6"/>
    <x v="3"/>
    <x v="5"/>
    <x v="1"/>
  </r>
  <r>
    <x v="967"/>
    <x v="9"/>
    <x v="1"/>
    <n v="38.6"/>
    <x v="837"/>
    <x v="38"/>
    <d v="2025-02-12T00:00:00"/>
    <s v="F"/>
    <x v="4"/>
    <x v="0"/>
    <x v="0"/>
    <x v="7"/>
    <x v="5"/>
    <x v="5"/>
    <x v="2"/>
  </r>
  <r>
    <x v="968"/>
    <x v="5"/>
    <x v="9"/>
    <n v="32.700000000000003"/>
    <x v="838"/>
    <x v="38"/>
    <d v="2025-02-09T00:00:00"/>
    <s v="M"/>
    <x v="2"/>
    <x v="2"/>
    <x v="0"/>
    <x v="8"/>
    <x v="3"/>
    <x v="5"/>
    <x v="1"/>
  </r>
  <r>
    <x v="969"/>
    <x v="3"/>
    <x v="1"/>
    <n v="111.4"/>
    <x v="839"/>
    <x v="38"/>
    <d v="2025-02-09T00:00:00"/>
    <s v="F"/>
    <x v="1"/>
    <x v="0"/>
    <x v="0"/>
    <x v="8"/>
    <x v="3"/>
    <x v="5"/>
    <x v="2"/>
  </r>
  <r>
    <x v="970"/>
    <x v="2"/>
    <x v="13"/>
    <n v="80.3"/>
    <x v="840"/>
    <x v="38"/>
    <d v="2025-02-10T00:00:00"/>
    <s v="F"/>
    <x v="1"/>
    <x v="0"/>
    <x v="0"/>
    <x v="8"/>
    <x v="1"/>
    <x v="5"/>
    <x v="2"/>
  </r>
  <r>
    <x v="971"/>
    <x v="6"/>
    <x v="1"/>
    <n v="58.9"/>
    <x v="841"/>
    <x v="38"/>
    <d v="2025-02-09T00:00:00"/>
    <s v="M"/>
    <x v="1"/>
    <x v="0"/>
    <x v="0"/>
    <x v="8"/>
    <x v="3"/>
    <x v="5"/>
    <x v="1"/>
  </r>
  <r>
    <x v="972"/>
    <x v="6"/>
    <x v="2"/>
    <n v="51.9"/>
    <x v="515"/>
    <x v="38"/>
    <d v="2025-02-10T00:00:00"/>
    <s v="F"/>
    <x v="1"/>
    <x v="4"/>
    <x v="0"/>
    <x v="8"/>
    <x v="1"/>
    <x v="5"/>
    <x v="2"/>
  </r>
  <r>
    <x v="973"/>
    <x v="2"/>
    <x v="2"/>
    <n v="50.3"/>
    <x v="842"/>
    <x v="38"/>
    <d v="2025-02-09T00:00:00"/>
    <s v="M"/>
    <x v="2"/>
    <x v="0"/>
    <x v="0"/>
    <x v="17"/>
    <x v="3"/>
    <x v="5"/>
    <x v="1"/>
  </r>
  <r>
    <x v="974"/>
    <x v="11"/>
    <x v="13"/>
    <n v="45"/>
    <x v="843"/>
    <x v="38"/>
    <d v="2025-02-14T00:00:00"/>
    <s v="F"/>
    <x v="3"/>
    <x v="0"/>
    <x v="0"/>
    <x v="9"/>
    <x v="4"/>
    <x v="5"/>
    <x v="2"/>
  </r>
  <r>
    <x v="975"/>
    <x v="10"/>
    <x v="13"/>
    <n v="44.7"/>
    <x v="844"/>
    <x v="38"/>
    <d v="2025-02-10T00:00:00"/>
    <s v="F"/>
    <x v="2"/>
    <x v="0"/>
    <x v="0"/>
    <x v="11"/>
    <x v="1"/>
    <x v="5"/>
    <x v="2"/>
  </r>
  <r>
    <x v="976"/>
    <x v="18"/>
    <x v="20"/>
    <n v="33"/>
    <x v="845"/>
    <x v="38"/>
    <d v="2025-02-09T00:00:00"/>
    <s v="F"/>
    <x v="2"/>
    <x v="0"/>
    <x v="0"/>
    <x v="11"/>
    <x v="3"/>
    <x v="5"/>
    <x v="2"/>
  </r>
  <r>
    <x v="977"/>
    <x v="1"/>
    <x v="9"/>
    <n v="44.9"/>
    <x v="846"/>
    <x v="38"/>
    <d v="2025-02-11T00:00:00"/>
    <s v="F"/>
    <x v="2"/>
    <x v="2"/>
    <x v="0"/>
    <x v="18"/>
    <x v="2"/>
    <x v="5"/>
    <x v="2"/>
  </r>
  <r>
    <x v="978"/>
    <x v="10"/>
    <x v="1"/>
    <n v="34.6"/>
    <x v="564"/>
    <x v="38"/>
    <d v="2025-02-12T00:00:00"/>
    <s v="F"/>
    <x v="0"/>
    <x v="1"/>
    <x v="0"/>
    <x v="19"/>
    <x v="5"/>
    <x v="5"/>
    <x v="2"/>
  </r>
  <r>
    <x v="979"/>
    <x v="7"/>
    <x v="3"/>
    <n v="47.1"/>
    <x v="847"/>
    <x v="38"/>
    <d v="2025-02-13T00:00:00"/>
    <s v="F"/>
    <x v="0"/>
    <x v="0"/>
    <x v="0"/>
    <x v="13"/>
    <x v="0"/>
    <x v="5"/>
    <x v="2"/>
  </r>
  <r>
    <x v="980"/>
    <x v="4"/>
    <x v="9"/>
    <n v="26.1"/>
    <x v="848"/>
    <x v="38"/>
    <d v="2025-02-13T00:00:00"/>
    <s v="M"/>
    <x v="0"/>
    <x v="2"/>
    <x v="0"/>
    <x v="21"/>
    <x v="0"/>
    <x v="5"/>
    <x v="1"/>
  </r>
  <r>
    <x v="981"/>
    <x v="12"/>
    <x v="9"/>
    <n v="66.8"/>
    <x v="849"/>
    <x v="38"/>
    <d v="2025-02-11T00:00:00"/>
    <s v="F"/>
    <x v="0"/>
    <x v="0"/>
    <x v="0"/>
    <x v="21"/>
    <x v="2"/>
    <x v="5"/>
    <x v="2"/>
  </r>
  <r>
    <x v="982"/>
    <x v="2"/>
    <x v="1"/>
    <n v="167.9"/>
    <x v="850"/>
    <x v="38"/>
    <d v="2025-02-09T00:00:00"/>
    <s v="F"/>
    <x v="3"/>
    <x v="2"/>
    <x v="0"/>
    <x v="21"/>
    <x v="3"/>
    <x v="5"/>
    <x v="2"/>
  </r>
  <r>
    <x v="983"/>
    <x v="10"/>
    <x v="11"/>
    <n v="34.6"/>
    <x v="851"/>
    <x v="38"/>
    <d v="2025-02-09T00:00:00"/>
    <s v="F"/>
    <x v="2"/>
    <x v="1"/>
    <x v="0"/>
    <x v="21"/>
    <x v="3"/>
    <x v="5"/>
    <x v="2"/>
  </r>
  <r>
    <x v="984"/>
    <x v="8"/>
    <x v="2"/>
    <n v="35.1"/>
    <x v="852"/>
    <x v="39"/>
    <d v="2025-02-13T00:00:00"/>
    <s v="M"/>
    <x v="4"/>
    <x v="2"/>
    <x v="0"/>
    <x v="1"/>
    <x v="5"/>
    <x v="6"/>
    <x v="1"/>
  </r>
  <r>
    <x v="985"/>
    <x v="6"/>
    <x v="12"/>
    <n v="104.5"/>
    <x v="378"/>
    <x v="39"/>
    <d v="2025-02-10T00:00:00"/>
    <s v="M"/>
    <x v="1"/>
    <x v="1"/>
    <x v="0"/>
    <x v="1"/>
    <x v="3"/>
    <x v="6"/>
    <x v="1"/>
  </r>
  <r>
    <x v="986"/>
    <x v="8"/>
    <x v="0"/>
    <n v="37.9"/>
    <x v="853"/>
    <x v="39"/>
    <d v="2025-02-11T00:00:00"/>
    <s v=""/>
    <x v="1"/>
    <x v="2"/>
    <x v="0"/>
    <x v="2"/>
    <x v="1"/>
    <x v="6"/>
    <x v="0"/>
  </r>
  <r>
    <x v="987"/>
    <x v="4"/>
    <x v="2"/>
    <n v="25.5"/>
    <x v="514"/>
    <x v="39"/>
    <d v="2025-02-12T00:00:00"/>
    <s v="M"/>
    <x v="3"/>
    <x v="0"/>
    <x v="0"/>
    <x v="2"/>
    <x v="2"/>
    <x v="6"/>
    <x v="1"/>
  </r>
  <r>
    <x v="988"/>
    <x v="0"/>
    <x v="2"/>
    <n v="32"/>
    <x v="854"/>
    <x v="39"/>
    <d v="2025-02-13T00:00:00"/>
    <s v="F"/>
    <x v="1"/>
    <x v="0"/>
    <x v="0"/>
    <x v="22"/>
    <x v="5"/>
    <x v="6"/>
    <x v="2"/>
  </r>
  <r>
    <x v="989"/>
    <x v="1"/>
    <x v="0"/>
    <n v="47.1"/>
    <x v="392"/>
    <x v="39"/>
    <d v="2025-02-10T00:00:00"/>
    <s v="F"/>
    <x v="0"/>
    <x v="0"/>
    <x v="0"/>
    <x v="34"/>
    <x v="3"/>
    <x v="6"/>
    <x v="2"/>
  </r>
  <r>
    <x v="990"/>
    <x v="6"/>
    <x v="1"/>
    <n v="50.6"/>
    <x v="855"/>
    <x v="39"/>
    <d v="2025-02-15T00:00:00"/>
    <s v=""/>
    <x v="0"/>
    <x v="0"/>
    <x v="0"/>
    <x v="3"/>
    <x v="4"/>
    <x v="6"/>
    <x v="0"/>
  </r>
  <r>
    <x v="991"/>
    <x v="6"/>
    <x v="9"/>
    <n v="81.7"/>
    <x v="856"/>
    <x v="39"/>
    <d v="2025-02-10T00:00:00"/>
    <s v="F"/>
    <x v="1"/>
    <x v="2"/>
    <x v="0"/>
    <x v="3"/>
    <x v="3"/>
    <x v="6"/>
    <x v="2"/>
  </r>
  <r>
    <x v="992"/>
    <x v="5"/>
    <x v="1"/>
    <n v="50.7"/>
    <x v="857"/>
    <x v="39"/>
    <d v="2025-02-10T00:00:00"/>
    <s v="O"/>
    <x v="2"/>
    <x v="2"/>
    <x v="0"/>
    <x v="3"/>
    <x v="3"/>
    <x v="6"/>
    <x v="3"/>
  </r>
  <r>
    <x v="993"/>
    <x v="2"/>
    <x v="10"/>
    <n v="67.3"/>
    <x v="858"/>
    <x v="39"/>
    <d v="2025-02-13T00:00:00"/>
    <s v="F"/>
    <x v="2"/>
    <x v="0"/>
    <x v="0"/>
    <x v="3"/>
    <x v="5"/>
    <x v="6"/>
    <x v="2"/>
  </r>
  <r>
    <x v="994"/>
    <x v="2"/>
    <x v="12"/>
    <n v="64.8"/>
    <x v="629"/>
    <x v="39"/>
    <d v="2025-02-12T00:00:00"/>
    <s v="F"/>
    <x v="3"/>
    <x v="0"/>
    <x v="0"/>
    <x v="3"/>
    <x v="2"/>
    <x v="6"/>
    <x v="2"/>
  </r>
  <r>
    <x v="995"/>
    <x v="5"/>
    <x v="32"/>
    <n v="61.3"/>
    <x v="859"/>
    <x v="39"/>
    <d v="2025-02-10T00:00:00"/>
    <s v="F"/>
    <x v="0"/>
    <x v="2"/>
    <x v="0"/>
    <x v="3"/>
    <x v="3"/>
    <x v="6"/>
    <x v="2"/>
  </r>
  <r>
    <x v="996"/>
    <x v="14"/>
    <x v="0"/>
    <n v="32.9"/>
    <x v="860"/>
    <x v="39"/>
    <d v="2025-02-12T00:00:00"/>
    <s v="F"/>
    <x v="4"/>
    <x v="0"/>
    <x v="0"/>
    <x v="3"/>
    <x v="2"/>
    <x v="6"/>
    <x v="2"/>
  </r>
  <r>
    <x v="997"/>
    <x v="6"/>
    <x v="1"/>
    <n v="100.8"/>
    <x v="861"/>
    <x v="39"/>
    <d v="2025-02-12T00:00:00"/>
    <s v="F"/>
    <x v="0"/>
    <x v="0"/>
    <x v="0"/>
    <x v="3"/>
    <x v="2"/>
    <x v="6"/>
    <x v="2"/>
  </r>
  <r>
    <x v="998"/>
    <x v="8"/>
    <x v="12"/>
    <n v="25.1"/>
    <x v="862"/>
    <x v="39"/>
    <d v="2025-02-11T00:00:00"/>
    <s v="F"/>
    <x v="1"/>
    <x v="0"/>
    <x v="0"/>
    <x v="3"/>
    <x v="1"/>
    <x v="6"/>
    <x v="2"/>
  </r>
  <r>
    <x v="999"/>
    <x v="17"/>
    <x v="0"/>
    <n v="48.5"/>
    <x v="319"/>
    <x v="39"/>
    <d v="2025-02-10T00:00:00"/>
    <s v="F"/>
    <x v="0"/>
    <x v="1"/>
    <x v="0"/>
    <x v="3"/>
    <x v="3"/>
    <x v="6"/>
    <x v="2"/>
  </r>
  <r>
    <x v="1000"/>
    <x v="7"/>
    <x v="1"/>
    <n v="33.6"/>
    <x v="863"/>
    <x v="39"/>
    <d v="2025-02-13T00:00:00"/>
    <s v="F"/>
    <x v="2"/>
    <x v="2"/>
    <x v="0"/>
    <x v="3"/>
    <x v="5"/>
    <x v="6"/>
    <x v="2"/>
  </r>
  <r>
    <x v="1001"/>
    <x v="8"/>
    <x v="0"/>
    <n v="39.299999999999997"/>
    <x v="864"/>
    <x v="39"/>
    <d v="2025-02-20T00:00:00"/>
    <s v="F"/>
    <x v="1"/>
    <x v="1"/>
    <x v="0"/>
    <x v="49"/>
    <x v="11"/>
    <x v="6"/>
    <x v="2"/>
  </r>
  <r>
    <x v="1002"/>
    <x v="4"/>
    <x v="7"/>
    <n v="48.8"/>
    <x v="865"/>
    <x v="39"/>
    <d v="2025-02-11T00:00:00"/>
    <s v="F"/>
    <x v="3"/>
    <x v="1"/>
    <x v="0"/>
    <x v="25"/>
    <x v="1"/>
    <x v="6"/>
    <x v="2"/>
  </r>
  <r>
    <x v="1003"/>
    <x v="6"/>
    <x v="8"/>
    <n v="72.8"/>
    <x v="866"/>
    <x v="39"/>
    <d v="2025-02-11T00:00:00"/>
    <s v="M"/>
    <x v="1"/>
    <x v="2"/>
    <x v="0"/>
    <x v="5"/>
    <x v="1"/>
    <x v="6"/>
    <x v="1"/>
  </r>
  <r>
    <x v="1004"/>
    <x v="10"/>
    <x v="8"/>
    <n v="46.2"/>
    <x v="867"/>
    <x v="39"/>
    <d v="2025-02-10T00:00:00"/>
    <s v="M"/>
    <x v="3"/>
    <x v="4"/>
    <x v="0"/>
    <x v="5"/>
    <x v="3"/>
    <x v="6"/>
    <x v="1"/>
  </r>
  <r>
    <x v="1005"/>
    <x v="4"/>
    <x v="1"/>
    <n v="20.7"/>
    <x v="50"/>
    <x v="39"/>
    <d v="2025-02-10T00:00:00"/>
    <s v="F"/>
    <x v="2"/>
    <x v="3"/>
    <x v="0"/>
    <x v="6"/>
    <x v="3"/>
    <x v="6"/>
    <x v="2"/>
  </r>
  <r>
    <x v="1006"/>
    <x v="0"/>
    <x v="0"/>
    <n v="35.700000000000003"/>
    <x v="519"/>
    <x v="39"/>
    <d v="2025-02-11T00:00:00"/>
    <s v="F"/>
    <x v="3"/>
    <x v="0"/>
    <x v="0"/>
    <x v="6"/>
    <x v="1"/>
    <x v="6"/>
    <x v="2"/>
  </r>
  <r>
    <x v="1007"/>
    <x v="2"/>
    <x v="27"/>
    <n v="166.2"/>
    <x v="868"/>
    <x v="39"/>
    <d v="2025-02-11T00:00:00"/>
    <s v=""/>
    <x v="2"/>
    <x v="0"/>
    <x v="0"/>
    <x v="7"/>
    <x v="1"/>
    <x v="6"/>
    <x v="0"/>
  </r>
  <r>
    <x v="1008"/>
    <x v="6"/>
    <x v="12"/>
    <n v="85.8"/>
    <x v="869"/>
    <x v="39"/>
    <d v="2025-02-10T00:00:00"/>
    <s v="F"/>
    <x v="1"/>
    <x v="1"/>
    <x v="0"/>
    <x v="7"/>
    <x v="3"/>
    <x v="6"/>
    <x v="2"/>
  </r>
  <r>
    <x v="1009"/>
    <x v="8"/>
    <x v="2"/>
    <n v="26"/>
    <x v="292"/>
    <x v="39"/>
    <d v="2025-02-11T00:00:00"/>
    <s v="O"/>
    <x v="1"/>
    <x v="0"/>
    <x v="0"/>
    <x v="7"/>
    <x v="1"/>
    <x v="6"/>
    <x v="3"/>
  </r>
  <r>
    <x v="1010"/>
    <x v="2"/>
    <x v="15"/>
    <n v="116.6"/>
    <x v="870"/>
    <x v="39"/>
    <d v="2025-02-12T00:00:00"/>
    <s v="F"/>
    <x v="0"/>
    <x v="0"/>
    <x v="0"/>
    <x v="8"/>
    <x v="2"/>
    <x v="6"/>
    <x v="2"/>
  </r>
  <r>
    <x v="1011"/>
    <x v="9"/>
    <x v="3"/>
    <n v="53.9"/>
    <x v="871"/>
    <x v="39"/>
    <d v="2025-02-12T00:00:00"/>
    <s v="O"/>
    <x v="0"/>
    <x v="2"/>
    <x v="0"/>
    <x v="8"/>
    <x v="2"/>
    <x v="6"/>
    <x v="3"/>
  </r>
  <r>
    <x v="1012"/>
    <x v="12"/>
    <x v="9"/>
    <n v="72.3"/>
    <x v="785"/>
    <x v="39"/>
    <d v="2025-02-11T00:00:00"/>
    <s v=""/>
    <x v="2"/>
    <x v="2"/>
    <x v="0"/>
    <x v="8"/>
    <x v="1"/>
    <x v="6"/>
    <x v="0"/>
  </r>
  <r>
    <x v="1013"/>
    <x v="5"/>
    <x v="1"/>
    <n v="31.4"/>
    <x v="143"/>
    <x v="39"/>
    <d v="2025-02-11T00:00:00"/>
    <s v="F"/>
    <x v="0"/>
    <x v="0"/>
    <x v="0"/>
    <x v="8"/>
    <x v="1"/>
    <x v="6"/>
    <x v="2"/>
  </r>
  <r>
    <x v="1014"/>
    <x v="13"/>
    <x v="1"/>
    <n v="53.1"/>
    <x v="872"/>
    <x v="39"/>
    <d v="2025-02-12T00:00:00"/>
    <s v="M"/>
    <x v="1"/>
    <x v="0"/>
    <x v="0"/>
    <x v="8"/>
    <x v="2"/>
    <x v="6"/>
    <x v="1"/>
  </r>
  <r>
    <x v="1015"/>
    <x v="2"/>
    <x v="12"/>
    <n v="56.2"/>
    <x v="873"/>
    <x v="39"/>
    <d v="2025-02-10T00:00:00"/>
    <s v="F"/>
    <x v="0"/>
    <x v="0"/>
    <x v="0"/>
    <x v="8"/>
    <x v="3"/>
    <x v="6"/>
    <x v="2"/>
  </r>
  <r>
    <x v="1016"/>
    <x v="1"/>
    <x v="7"/>
    <n v="77.3"/>
    <x v="874"/>
    <x v="39"/>
    <d v="2025-02-10T00:00:00"/>
    <s v="F"/>
    <x v="2"/>
    <x v="0"/>
    <x v="0"/>
    <x v="11"/>
    <x v="3"/>
    <x v="6"/>
    <x v="2"/>
  </r>
  <r>
    <x v="1017"/>
    <x v="6"/>
    <x v="15"/>
    <n v="57.8"/>
    <x v="875"/>
    <x v="39"/>
    <d v="2025-02-10T00:00:00"/>
    <s v=""/>
    <x v="0"/>
    <x v="0"/>
    <x v="0"/>
    <x v="53"/>
    <x v="3"/>
    <x v="6"/>
    <x v="0"/>
  </r>
  <r>
    <x v="1018"/>
    <x v="12"/>
    <x v="20"/>
    <n v="42.1"/>
    <x v="876"/>
    <x v="39"/>
    <d v="2025-02-11T00:00:00"/>
    <s v="F"/>
    <x v="1"/>
    <x v="1"/>
    <x v="0"/>
    <x v="53"/>
    <x v="1"/>
    <x v="6"/>
    <x v="2"/>
  </r>
  <r>
    <x v="1019"/>
    <x v="8"/>
    <x v="11"/>
    <n v="22.8"/>
    <x v="877"/>
    <x v="39"/>
    <d v="2025-02-13T00:00:00"/>
    <s v="M"/>
    <x v="2"/>
    <x v="2"/>
    <x v="0"/>
    <x v="19"/>
    <x v="5"/>
    <x v="6"/>
    <x v="1"/>
  </r>
  <r>
    <x v="1020"/>
    <x v="2"/>
    <x v="2"/>
    <n v="171.1"/>
    <x v="878"/>
    <x v="40"/>
    <d v="2025-02-17T00:00:00"/>
    <s v="F"/>
    <x v="2"/>
    <x v="1"/>
    <x v="0"/>
    <x v="19"/>
    <x v="6"/>
    <x v="6"/>
    <x v="2"/>
  </r>
  <r>
    <x v="1021"/>
    <x v="8"/>
    <x v="0"/>
    <n v="28"/>
    <x v="879"/>
    <x v="40"/>
    <d v="2025-02-12T00:00:00"/>
    <s v="M"/>
    <x v="2"/>
    <x v="2"/>
    <x v="0"/>
    <x v="21"/>
    <x v="1"/>
    <x v="6"/>
    <x v="1"/>
  </r>
  <r>
    <x v="1022"/>
    <x v="6"/>
    <x v="3"/>
    <n v="50.2"/>
    <x v="880"/>
    <x v="40"/>
    <d v="2025-02-12T00:00:00"/>
    <s v="M"/>
    <x v="2"/>
    <x v="0"/>
    <x v="0"/>
    <x v="21"/>
    <x v="1"/>
    <x v="6"/>
    <x v="1"/>
  </r>
  <r>
    <x v="1023"/>
    <x v="6"/>
    <x v="1"/>
    <n v="56"/>
    <x v="881"/>
    <x v="40"/>
    <d v="2025-02-10T00:00:00"/>
    <s v="M"/>
    <x v="0"/>
    <x v="2"/>
    <x v="0"/>
    <x v="22"/>
    <x v="7"/>
    <x v="6"/>
    <x v="1"/>
  </r>
  <r>
    <x v="1024"/>
    <x v="1"/>
    <x v="1"/>
    <n v="38.299999999999997"/>
    <x v="882"/>
    <x v="40"/>
    <d v="2025-02-11T00:00:00"/>
    <s v="F"/>
    <x v="1"/>
    <x v="0"/>
    <x v="0"/>
    <x v="3"/>
    <x v="3"/>
    <x v="6"/>
    <x v="2"/>
  </r>
  <r>
    <x v="1025"/>
    <x v="0"/>
    <x v="9"/>
    <n v="22.3"/>
    <x v="883"/>
    <x v="40"/>
    <d v="2025-02-14T00:00:00"/>
    <s v="F"/>
    <x v="2"/>
    <x v="1"/>
    <x v="0"/>
    <x v="3"/>
    <x v="5"/>
    <x v="6"/>
    <x v="2"/>
  </r>
  <r>
    <x v="1026"/>
    <x v="0"/>
    <x v="2"/>
    <n v="22.3"/>
    <x v="884"/>
    <x v="40"/>
    <d v="2025-02-13T00:00:00"/>
    <s v="F"/>
    <x v="2"/>
    <x v="0"/>
    <x v="0"/>
    <x v="3"/>
    <x v="2"/>
    <x v="6"/>
    <x v="2"/>
  </r>
  <r>
    <x v="1027"/>
    <x v="1"/>
    <x v="0"/>
    <n v="32.9"/>
    <x v="860"/>
    <x v="40"/>
    <d v="2025-02-15T00:00:00"/>
    <s v="F"/>
    <x v="0"/>
    <x v="0"/>
    <x v="0"/>
    <x v="3"/>
    <x v="0"/>
    <x v="6"/>
    <x v="2"/>
  </r>
  <r>
    <x v="1028"/>
    <x v="10"/>
    <x v="2"/>
    <n v="31.9"/>
    <x v="802"/>
    <x v="40"/>
    <d v="2025-02-15T00:00:00"/>
    <s v="F"/>
    <x v="0"/>
    <x v="0"/>
    <x v="0"/>
    <x v="3"/>
    <x v="0"/>
    <x v="6"/>
    <x v="2"/>
  </r>
  <r>
    <x v="1029"/>
    <x v="6"/>
    <x v="1"/>
    <n v="94"/>
    <x v="885"/>
    <x v="40"/>
    <d v="2025-02-11T00:00:00"/>
    <s v="M"/>
    <x v="2"/>
    <x v="2"/>
    <x v="0"/>
    <x v="3"/>
    <x v="3"/>
    <x v="6"/>
    <x v="1"/>
  </r>
  <r>
    <x v="1030"/>
    <x v="10"/>
    <x v="1"/>
    <n v="30.7"/>
    <x v="886"/>
    <x v="40"/>
    <d v="2025-02-11T00:00:00"/>
    <s v="F"/>
    <x v="0"/>
    <x v="1"/>
    <x v="0"/>
    <x v="3"/>
    <x v="3"/>
    <x v="6"/>
    <x v="2"/>
  </r>
  <r>
    <x v="1031"/>
    <x v="5"/>
    <x v="9"/>
    <n v="90.5"/>
    <x v="887"/>
    <x v="40"/>
    <d v="2025-02-17T00:00:00"/>
    <s v="M"/>
    <x v="0"/>
    <x v="2"/>
    <x v="0"/>
    <x v="3"/>
    <x v="6"/>
    <x v="6"/>
    <x v="1"/>
  </r>
  <r>
    <x v="1032"/>
    <x v="8"/>
    <x v="9"/>
    <n v="25.3"/>
    <x v="888"/>
    <x v="40"/>
    <d v="2025-02-14T00:00:00"/>
    <s v="F"/>
    <x v="0"/>
    <x v="2"/>
    <x v="0"/>
    <x v="3"/>
    <x v="5"/>
    <x v="6"/>
    <x v="2"/>
  </r>
  <r>
    <x v="1033"/>
    <x v="6"/>
    <x v="2"/>
    <n v="58.1"/>
    <x v="889"/>
    <x v="40"/>
    <d v="2025-02-14T00:00:00"/>
    <s v=""/>
    <x v="0"/>
    <x v="2"/>
    <x v="0"/>
    <x v="3"/>
    <x v="5"/>
    <x v="6"/>
    <x v="0"/>
  </r>
  <r>
    <x v="1034"/>
    <x v="2"/>
    <x v="2"/>
    <n v="74.900000000000006"/>
    <x v="890"/>
    <x v="40"/>
    <d v="2025-02-11T00:00:00"/>
    <s v="F"/>
    <x v="4"/>
    <x v="0"/>
    <x v="0"/>
    <x v="3"/>
    <x v="3"/>
    <x v="6"/>
    <x v="2"/>
  </r>
  <r>
    <x v="1035"/>
    <x v="4"/>
    <x v="1"/>
    <n v="32.5"/>
    <x v="891"/>
    <x v="40"/>
    <d v="2025-02-11T00:00:00"/>
    <s v="M"/>
    <x v="2"/>
    <x v="2"/>
    <x v="0"/>
    <x v="43"/>
    <x v="3"/>
    <x v="6"/>
    <x v="1"/>
  </r>
  <r>
    <x v="1036"/>
    <x v="4"/>
    <x v="9"/>
    <n v="62"/>
    <x v="892"/>
    <x v="40"/>
    <d v="2025-02-11T00:00:00"/>
    <s v="M"/>
    <x v="4"/>
    <x v="2"/>
    <x v="0"/>
    <x v="25"/>
    <x v="3"/>
    <x v="6"/>
    <x v="1"/>
  </r>
  <r>
    <x v="1037"/>
    <x v="13"/>
    <x v="13"/>
    <n v="28.9"/>
    <x v="893"/>
    <x v="40"/>
    <d v="2025-02-13T00:00:00"/>
    <s v="F"/>
    <x v="0"/>
    <x v="1"/>
    <x v="0"/>
    <x v="6"/>
    <x v="2"/>
    <x v="6"/>
    <x v="2"/>
  </r>
  <r>
    <x v="1038"/>
    <x v="6"/>
    <x v="8"/>
    <n v="42.8"/>
    <x v="894"/>
    <x v="40"/>
    <d v="2025-02-12T00:00:00"/>
    <s v="F"/>
    <x v="0"/>
    <x v="2"/>
    <x v="0"/>
    <x v="6"/>
    <x v="1"/>
    <x v="6"/>
    <x v="2"/>
  </r>
  <r>
    <x v="1039"/>
    <x v="8"/>
    <x v="8"/>
    <n v="39.4"/>
    <x v="895"/>
    <x v="40"/>
    <d v="2025-02-12T00:00:00"/>
    <s v="M"/>
    <x v="0"/>
    <x v="0"/>
    <x v="0"/>
    <x v="36"/>
    <x v="1"/>
    <x v="6"/>
    <x v="1"/>
  </r>
  <r>
    <x v="1040"/>
    <x v="18"/>
    <x v="2"/>
    <n v="66.400000000000006"/>
    <x v="896"/>
    <x v="40"/>
    <d v="2025-02-11T00:00:00"/>
    <s v=""/>
    <x v="2"/>
    <x v="1"/>
    <x v="0"/>
    <x v="7"/>
    <x v="3"/>
    <x v="6"/>
    <x v="0"/>
  </r>
  <r>
    <x v="1041"/>
    <x v="17"/>
    <x v="12"/>
    <n v="35.9"/>
    <x v="897"/>
    <x v="40"/>
    <d v="2025-02-17T00:00:00"/>
    <s v="F"/>
    <x v="1"/>
    <x v="0"/>
    <x v="0"/>
    <x v="7"/>
    <x v="6"/>
    <x v="6"/>
    <x v="2"/>
  </r>
  <r>
    <x v="1042"/>
    <x v="0"/>
    <x v="12"/>
    <n v="26.9"/>
    <x v="799"/>
    <x v="40"/>
    <d v="2025-02-11T00:00:00"/>
    <s v="M"/>
    <x v="1"/>
    <x v="0"/>
    <x v="0"/>
    <x v="7"/>
    <x v="3"/>
    <x v="6"/>
    <x v="1"/>
  </r>
  <r>
    <x v="1043"/>
    <x v="2"/>
    <x v="0"/>
    <n v="55.1"/>
    <x v="898"/>
    <x v="40"/>
    <d v="2025-02-11T00:00:00"/>
    <s v="F"/>
    <x v="0"/>
    <x v="0"/>
    <x v="0"/>
    <x v="7"/>
    <x v="3"/>
    <x v="6"/>
    <x v="2"/>
  </r>
  <r>
    <x v="1044"/>
    <x v="4"/>
    <x v="1"/>
    <n v="23.9"/>
    <x v="538"/>
    <x v="40"/>
    <d v="2025-02-11T00:00:00"/>
    <s v="M"/>
    <x v="0"/>
    <x v="2"/>
    <x v="0"/>
    <x v="8"/>
    <x v="3"/>
    <x v="6"/>
    <x v="1"/>
  </r>
  <r>
    <x v="1045"/>
    <x v="9"/>
    <x v="15"/>
    <n v="21.1"/>
    <x v="899"/>
    <x v="40"/>
    <d v="2025-02-18T00:00:00"/>
    <s v="F"/>
    <x v="0"/>
    <x v="1"/>
    <x v="0"/>
    <x v="8"/>
    <x v="9"/>
    <x v="6"/>
    <x v="2"/>
  </r>
  <r>
    <x v="1046"/>
    <x v="8"/>
    <x v="9"/>
    <n v="33.799999999999997"/>
    <x v="900"/>
    <x v="40"/>
    <d v="2025-02-12T00:00:00"/>
    <s v="F"/>
    <x v="0"/>
    <x v="0"/>
    <x v="0"/>
    <x v="8"/>
    <x v="1"/>
    <x v="6"/>
    <x v="2"/>
  </r>
  <r>
    <x v="1047"/>
    <x v="2"/>
    <x v="12"/>
    <n v="56.1"/>
    <x v="901"/>
    <x v="40"/>
    <d v="2025-02-10T00:00:00"/>
    <s v="F"/>
    <x v="3"/>
    <x v="2"/>
    <x v="0"/>
    <x v="9"/>
    <x v="7"/>
    <x v="6"/>
    <x v="2"/>
  </r>
  <r>
    <x v="1048"/>
    <x v="3"/>
    <x v="0"/>
    <n v="58.5"/>
    <x v="902"/>
    <x v="41"/>
    <d v="2025-02-15T00:00:00"/>
    <s v="F"/>
    <x v="1"/>
    <x v="2"/>
    <x v="0"/>
    <x v="9"/>
    <x v="5"/>
    <x v="6"/>
    <x v="2"/>
  </r>
  <r>
    <x v="1049"/>
    <x v="6"/>
    <x v="0"/>
    <n v="84.2"/>
    <x v="903"/>
    <x v="41"/>
    <d v="2025-02-13T00:00:00"/>
    <s v="M"/>
    <x v="3"/>
    <x v="0"/>
    <x v="0"/>
    <x v="11"/>
    <x v="1"/>
    <x v="6"/>
    <x v="1"/>
  </r>
  <r>
    <x v="1050"/>
    <x v="11"/>
    <x v="12"/>
    <n v="52"/>
    <x v="904"/>
    <x v="41"/>
    <d v="2025-02-14T00:00:00"/>
    <s v="M"/>
    <x v="0"/>
    <x v="0"/>
    <x v="0"/>
    <x v="11"/>
    <x v="2"/>
    <x v="6"/>
    <x v="1"/>
  </r>
  <r>
    <x v="1051"/>
    <x v="4"/>
    <x v="9"/>
    <n v="31.5"/>
    <x v="905"/>
    <x v="41"/>
    <d v="2025-02-12T00:00:00"/>
    <s v="F"/>
    <x v="0"/>
    <x v="2"/>
    <x v="0"/>
    <x v="11"/>
    <x v="3"/>
    <x v="6"/>
    <x v="2"/>
  </r>
  <r>
    <x v="1052"/>
    <x v="16"/>
    <x v="2"/>
    <n v="46.2"/>
    <x v="209"/>
    <x v="41"/>
    <d v="2025-02-12T00:00:00"/>
    <s v="M"/>
    <x v="0"/>
    <x v="0"/>
    <x v="0"/>
    <x v="53"/>
    <x v="3"/>
    <x v="6"/>
    <x v="1"/>
  </r>
  <r>
    <x v="1053"/>
    <x v="2"/>
    <x v="13"/>
    <n v="135"/>
    <x v="906"/>
    <x v="41"/>
    <d v="2025-02-12T00:00:00"/>
    <s v="F"/>
    <x v="1"/>
    <x v="2"/>
    <x v="0"/>
    <x v="18"/>
    <x v="3"/>
    <x v="6"/>
    <x v="2"/>
  </r>
  <r>
    <x v="1054"/>
    <x v="12"/>
    <x v="2"/>
    <n v="92.2"/>
    <x v="907"/>
    <x v="41"/>
    <d v="2025-02-15T00:00:00"/>
    <s v="M"/>
    <x v="0"/>
    <x v="0"/>
    <x v="0"/>
    <x v="21"/>
    <x v="5"/>
    <x v="6"/>
    <x v="1"/>
  </r>
  <r>
    <x v="1055"/>
    <x v="8"/>
    <x v="0"/>
    <n v="36.6"/>
    <x v="547"/>
    <x v="41"/>
    <d v="2025-02-13T00:00:00"/>
    <s v="M"/>
    <x v="2"/>
    <x v="2"/>
    <x v="0"/>
    <x v="21"/>
    <x v="1"/>
    <x v="6"/>
    <x v="1"/>
  </r>
  <r>
    <x v="1056"/>
    <x v="9"/>
    <x v="1"/>
    <n v="50.6"/>
    <x v="855"/>
    <x v="41"/>
    <d v="2025-02-14T00:00:00"/>
    <s v="F"/>
    <x v="0"/>
    <x v="0"/>
    <x v="0"/>
    <x v="2"/>
    <x v="2"/>
    <x v="6"/>
    <x v="2"/>
  </r>
  <r>
    <x v="1057"/>
    <x v="18"/>
    <x v="3"/>
    <n v="56.7"/>
    <x v="908"/>
    <x v="41"/>
    <d v="2025-02-14T00:00:00"/>
    <s v="F"/>
    <x v="0"/>
    <x v="0"/>
    <x v="0"/>
    <x v="2"/>
    <x v="2"/>
    <x v="6"/>
    <x v="2"/>
  </r>
  <r>
    <x v="1058"/>
    <x v="9"/>
    <x v="15"/>
    <n v="22.9"/>
    <x v="909"/>
    <x v="41"/>
    <d v="2025-02-12T00:00:00"/>
    <s v="F"/>
    <x v="0"/>
    <x v="1"/>
    <x v="0"/>
    <x v="44"/>
    <x v="3"/>
    <x v="6"/>
    <x v="2"/>
  </r>
  <r>
    <x v="1059"/>
    <x v="15"/>
    <x v="10"/>
    <n v="53.6"/>
    <x v="910"/>
    <x v="41"/>
    <d v="2025-02-12T00:00:00"/>
    <s v="M"/>
    <x v="0"/>
    <x v="0"/>
    <x v="0"/>
    <x v="22"/>
    <x v="3"/>
    <x v="6"/>
    <x v="1"/>
  </r>
  <r>
    <x v="1060"/>
    <x v="18"/>
    <x v="1"/>
    <n v="30.2"/>
    <x v="266"/>
    <x v="41"/>
    <d v="2025-02-13T00:00:00"/>
    <s v=""/>
    <x v="2"/>
    <x v="2"/>
    <x v="0"/>
    <x v="3"/>
    <x v="1"/>
    <x v="6"/>
    <x v="0"/>
  </r>
  <r>
    <x v="1061"/>
    <x v="15"/>
    <x v="13"/>
    <n v="83.4"/>
    <x v="911"/>
    <x v="41"/>
    <d v="2025-02-12T00:00:00"/>
    <s v="M"/>
    <x v="1"/>
    <x v="2"/>
    <x v="0"/>
    <x v="3"/>
    <x v="3"/>
    <x v="6"/>
    <x v="1"/>
  </r>
  <r>
    <x v="1062"/>
    <x v="13"/>
    <x v="4"/>
    <n v="16.600000000000001"/>
    <x v="896"/>
    <x v="41"/>
    <d v="2025-02-13T00:00:00"/>
    <s v="M"/>
    <x v="1"/>
    <x v="0"/>
    <x v="0"/>
    <x v="3"/>
    <x v="1"/>
    <x v="6"/>
    <x v="1"/>
  </r>
  <r>
    <x v="1063"/>
    <x v="8"/>
    <x v="14"/>
    <n v="21.9"/>
    <x v="912"/>
    <x v="41"/>
    <d v="2025-02-13T00:00:00"/>
    <s v="F"/>
    <x v="4"/>
    <x v="1"/>
    <x v="0"/>
    <x v="3"/>
    <x v="1"/>
    <x v="6"/>
    <x v="2"/>
  </r>
  <r>
    <x v="1064"/>
    <x v="8"/>
    <x v="31"/>
    <n v="33.799999999999997"/>
    <x v="913"/>
    <x v="41"/>
    <d v="2025-02-13T00:00:00"/>
    <s v="M"/>
    <x v="2"/>
    <x v="4"/>
    <x v="0"/>
    <x v="3"/>
    <x v="1"/>
    <x v="6"/>
    <x v="1"/>
  </r>
  <r>
    <x v="1065"/>
    <x v="18"/>
    <x v="1"/>
    <n v="53.2"/>
    <x v="793"/>
    <x v="41"/>
    <d v="2025-02-11T00:00:00"/>
    <s v="M"/>
    <x v="1"/>
    <x v="0"/>
    <x v="0"/>
    <x v="3"/>
    <x v="7"/>
    <x v="6"/>
    <x v="1"/>
  </r>
  <r>
    <x v="1066"/>
    <x v="2"/>
    <x v="1"/>
    <n v="176.7"/>
    <x v="914"/>
    <x v="41"/>
    <d v="2025-02-14T00:00:00"/>
    <s v="F"/>
    <x v="2"/>
    <x v="0"/>
    <x v="0"/>
    <x v="3"/>
    <x v="2"/>
    <x v="6"/>
    <x v="2"/>
  </r>
  <r>
    <x v="1067"/>
    <x v="12"/>
    <x v="2"/>
    <n v="54"/>
    <x v="915"/>
    <x v="41"/>
    <d v="2025-02-14T00:00:00"/>
    <s v="M"/>
    <x v="0"/>
    <x v="1"/>
    <x v="0"/>
    <x v="3"/>
    <x v="2"/>
    <x v="6"/>
    <x v="1"/>
  </r>
  <r>
    <x v="1068"/>
    <x v="9"/>
    <x v="1"/>
    <n v="70.099999999999994"/>
    <x v="634"/>
    <x v="41"/>
    <d v="2025-02-19T00:00:00"/>
    <s v="F"/>
    <x v="3"/>
    <x v="2"/>
    <x v="0"/>
    <x v="3"/>
    <x v="9"/>
    <x v="6"/>
    <x v="2"/>
  </r>
  <r>
    <x v="1069"/>
    <x v="8"/>
    <x v="0"/>
    <n v="26.5"/>
    <x v="38"/>
    <x v="41"/>
    <d v="2025-02-13T00:00:00"/>
    <s v="F"/>
    <x v="1"/>
    <x v="0"/>
    <x v="0"/>
    <x v="3"/>
    <x v="1"/>
    <x v="6"/>
    <x v="2"/>
  </r>
  <r>
    <x v="1070"/>
    <x v="7"/>
    <x v="9"/>
    <n v="89"/>
    <x v="916"/>
    <x v="41"/>
    <d v="2025-02-13T00:00:00"/>
    <s v="M"/>
    <x v="2"/>
    <x v="4"/>
    <x v="0"/>
    <x v="3"/>
    <x v="1"/>
    <x v="6"/>
    <x v="1"/>
  </r>
  <r>
    <x v="1071"/>
    <x v="1"/>
    <x v="13"/>
    <n v="47"/>
    <x v="917"/>
    <x v="41"/>
    <d v="2025-02-14T00:00:00"/>
    <s v="F"/>
    <x v="3"/>
    <x v="0"/>
    <x v="0"/>
    <x v="24"/>
    <x v="2"/>
    <x v="6"/>
    <x v="2"/>
  </r>
  <r>
    <x v="1072"/>
    <x v="3"/>
    <x v="1"/>
    <n v="55.2"/>
    <x v="918"/>
    <x v="41"/>
    <d v="2025-02-14T00:00:00"/>
    <s v="M"/>
    <x v="1"/>
    <x v="1"/>
    <x v="0"/>
    <x v="6"/>
    <x v="2"/>
    <x v="6"/>
    <x v="1"/>
  </r>
  <r>
    <x v="1073"/>
    <x v="8"/>
    <x v="39"/>
    <n v="33.299999999999997"/>
    <x v="919"/>
    <x v="41"/>
    <d v="2025-02-25T00:00:00"/>
    <s v="M"/>
    <x v="1"/>
    <x v="2"/>
    <x v="0"/>
    <x v="6"/>
    <x v="12"/>
    <x v="6"/>
    <x v="1"/>
  </r>
  <r>
    <x v="1074"/>
    <x v="2"/>
    <x v="12"/>
    <n v="110.9"/>
    <x v="920"/>
    <x v="42"/>
    <d v="2025-02-12T00:00:00"/>
    <s v="M"/>
    <x v="2"/>
    <x v="4"/>
    <x v="0"/>
    <x v="6"/>
    <x v="7"/>
    <x v="6"/>
    <x v="1"/>
  </r>
  <r>
    <x v="1075"/>
    <x v="2"/>
    <x v="13"/>
    <n v="67.3"/>
    <x v="921"/>
    <x v="42"/>
    <d v="2025-02-13T00:00:00"/>
    <s v="M"/>
    <x v="0"/>
    <x v="0"/>
    <x v="0"/>
    <x v="8"/>
    <x v="3"/>
    <x v="6"/>
    <x v="1"/>
  </r>
  <r>
    <x v="1076"/>
    <x v="6"/>
    <x v="2"/>
    <n v="69.7"/>
    <x v="922"/>
    <x v="42"/>
    <d v="2025-02-13T00:00:00"/>
    <s v="M"/>
    <x v="2"/>
    <x v="1"/>
    <x v="0"/>
    <x v="8"/>
    <x v="3"/>
    <x v="6"/>
    <x v="1"/>
  </r>
  <r>
    <x v="1077"/>
    <x v="5"/>
    <x v="0"/>
    <n v="39.1"/>
    <x v="923"/>
    <x v="42"/>
    <d v="2025-02-17T00:00:00"/>
    <s v="M"/>
    <x v="0"/>
    <x v="1"/>
    <x v="0"/>
    <x v="17"/>
    <x v="0"/>
    <x v="6"/>
    <x v="1"/>
  </r>
  <r>
    <x v="1078"/>
    <x v="2"/>
    <x v="2"/>
    <n v="208.6"/>
    <x v="924"/>
    <x v="42"/>
    <d v="2025-02-12T00:00:00"/>
    <s v="M"/>
    <x v="4"/>
    <x v="2"/>
    <x v="0"/>
    <x v="17"/>
    <x v="7"/>
    <x v="6"/>
    <x v="1"/>
  </r>
  <r>
    <x v="1079"/>
    <x v="15"/>
    <x v="2"/>
    <n v="27.8"/>
    <x v="925"/>
    <x v="42"/>
    <d v="2025-02-13T00:00:00"/>
    <s v="M"/>
    <x v="3"/>
    <x v="1"/>
    <x v="0"/>
    <x v="11"/>
    <x v="3"/>
    <x v="6"/>
    <x v="1"/>
  </r>
  <r>
    <x v="1080"/>
    <x v="10"/>
    <x v="9"/>
    <n v="29.4"/>
    <x v="926"/>
    <x v="42"/>
    <d v="2025-02-14T00:00:00"/>
    <s v="F"/>
    <x v="0"/>
    <x v="0"/>
    <x v="0"/>
    <x v="11"/>
    <x v="1"/>
    <x v="6"/>
    <x v="2"/>
  </r>
  <r>
    <x v="1081"/>
    <x v="9"/>
    <x v="1"/>
    <n v="29.2"/>
    <x v="305"/>
    <x v="42"/>
    <d v="2025-02-14T00:00:00"/>
    <s v="F"/>
    <x v="1"/>
    <x v="2"/>
    <x v="0"/>
    <x v="20"/>
    <x v="1"/>
    <x v="6"/>
    <x v="2"/>
  </r>
  <r>
    <x v="1082"/>
    <x v="10"/>
    <x v="9"/>
    <n v="26.5"/>
    <x v="927"/>
    <x v="42"/>
    <d v="2025-02-14T00:00:00"/>
    <s v="F"/>
    <x v="0"/>
    <x v="0"/>
    <x v="0"/>
    <x v="52"/>
    <x v="1"/>
    <x v="6"/>
    <x v="2"/>
  </r>
  <r>
    <x v="1083"/>
    <x v="5"/>
    <x v="0"/>
    <n v="30.3"/>
    <x v="928"/>
    <x v="42"/>
    <d v="2025-02-13T00:00:00"/>
    <s v="F"/>
    <x v="4"/>
    <x v="1"/>
    <x v="0"/>
    <x v="13"/>
    <x v="3"/>
    <x v="6"/>
    <x v="2"/>
  </r>
  <r>
    <x v="1084"/>
    <x v="16"/>
    <x v="4"/>
    <n v="39.700000000000003"/>
    <x v="929"/>
    <x v="42"/>
    <d v="2025-02-13T00:00:00"/>
    <s v="F"/>
    <x v="0"/>
    <x v="0"/>
    <x v="0"/>
    <x v="21"/>
    <x v="3"/>
    <x v="6"/>
    <x v="2"/>
  </r>
  <r>
    <x v="1085"/>
    <x v="7"/>
    <x v="7"/>
    <n v="58.9"/>
    <x v="930"/>
    <x v="42"/>
    <d v="2025-02-14T00:00:00"/>
    <s v="F"/>
    <x v="1"/>
    <x v="4"/>
    <x v="0"/>
    <x v="21"/>
    <x v="1"/>
    <x v="6"/>
    <x v="2"/>
  </r>
  <r>
    <x v="1086"/>
    <x v="2"/>
    <x v="1"/>
    <n v="174.1"/>
    <x v="931"/>
    <x v="42"/>
    <d v="2025-02-14T00:00:00"/>
    <s v="F"/>
    <x v="0"/>
    <x v="1"/>
    <x v="0"/>
    <x v="46"/>
    <x v="1"/>
    <x v="6"/>
    <x v="2"/>
  </r>
  <r>
    <x v="1087"/>
    <x v="6"/>
    <x v="1"/>
    <n v="70.8"/>
    <x v="932"/>
    <x v="42"/>
    <d v="2025-02-15T00:00:00"/>
    <s v="M"/>
    <x v="2"/>
    <x v="0"/>
    <x v="0"/>
    <x v="22"/>
    <x v="2"/>
    <x v="6"/>
    <x v="1"/>
  </r>
  <r>
    <x v="1088"/>
    <x v="7"/>
    <x v="1"/>
    <n v="57.4"/>
    <x v="311"/>
    <x v="42"/>
    <d v="2025-02-14T00:00:00"/>
    <s v="F"/>
    <x v="1"/>
    <x v="1"/>
    <x v="0"/>
    <x v="34"/>
    <x v="1"/>
    <x v="6"/>
    <x v="2"/>
  </r>
  <r>
    <x v="1089"/>
    <x v="0"/>
    <x v="1"/>
    <n v="28.5"/>
    <x v="933"/>
    <x v="42"/>
    <d v="2025-02-14T00:00:00"/>
    <s v="M"/>
    <x v="3"/>
    <x v="1"/>
    <x v="0"/>
    <x v="3"/>
    <x v="1"/>
    <x v="6"/>
    <x v="1"/>
  </r>
  <r>
    <x v="1090"/>
    <x v="2"/>
    <x v="28"/>
    <n v="106.6"/>
    <x v="934"/>
    <x v="42"/>
    <d v="2025-02-13T00:00:00"/>
    <s v=""/>
    <x v="1"/>
    <x v="4"/>
    <x v="0"/>
    <x v="3"/>
    <x v="3"/>
    <x v="6"/>
    <x v="0"/>
  </r>
  <r>
    <x v="1091"/>
    <x v="2"/>
    <x v="2"/>
    <n v="119.7"/>
    <x v="935"/>
    <x v="42"/>
    <d v="2025-02-13T00:00:00"/>
    <s v="F"/>
    <x v="1"/>
    <x v="4"/>
    <x v="0"/>
    <x v="3"/>
    <x v="3"/>
    <x v="6"/>
    <x v="2"/>
  </r>
  <r>
    <x v="1092"/>
    <x v="18"/>
    <x v="0"/>
    <n v="73.3"/>
    <x v="936"/>
    <x v="42"/>
    <d v="2025-02-17T00:00:00"/>
    <s v="F"/>
    <x v="0"/>
    <x v="2"/>
    <x v="0"/>
    <x v="3"/>
    <x v="0"/>
    <x v="6"/>
    <x v="2"/>
  </r>
  <r>
    <x v="1093"/>
    <x v="0"/>
    <x v="1"/>
    <n v="25.8"/>
    <x v="937"/>
    <x v="42"/>
    <d v="2025-02-26T00:00:00"/>
    <s v="M"/>
    <x v="2"/>
    <x v="0"/>
    <x v="0"/>
    <x v="3"/>
    <x v="12"/>
    <x v="6"/>
    <x v="1"/>
  </r>
  <r>
    <x v="1094"/>
    <x v="17"/>
    <x v="2"/>
    <n v="49.1"/>
    <x v="824"/>
    <x v="42"/>
    <d v="2025-02-14T00:00:00"/>
    <s v="F"/>
    <x v="0"/>
    <x v="0"/>
    <x v="0"/>
    <x v="24"/>
    <x v="1"/>
    <x v="6"/>
    <x v="2"/>
  </r>
  <r>
    <x v="1095"/>
    <x v="1"/>
    <x v="0"/>
    <n v="44.9"/>
    <x v="938"/>
    <x v="42"/>
    <d v="2025-02-15T00:00:00"/>
    <s v="F"/>
    <x v="3"/>
    <x v="2"/>
    <x v="0"/>
    <x v="6"/>
    <x v="2"/>
    <x v="6"/>
    <x v="2"/>
  </r>
  <r>
    <x v="1096"/>
    <x v="15"/>
    <x v="3"/>
    <n v="29.9"/>
    <x v="549"/>
    <x v="42"/>
    <d v="2025-02-13T00:00:00"/>
    <s v="F"/>
    <x v="0"/>
    <x v="0"/>
    <x v="0"/>
    <x v="6"/>
    <x v="3"/>
    <x v="6"/>
    <x v="2"/>
  </r>
  <r>
    <x v="1097"/>
    <x v="7"/>
    <x v="1"/>
    <n v="54.3"/>
    <x v="939"/>
    <x v="43"/>
    <d v="2025-02-14T00:00:00"/>
    <s v="M"/>
    <x v="3"/>
    <x v="0"/>
    <x v="0"/>
    <x v="36"/>
    <x v="3"/>
    <x v="6"/>
    <x v="1"/>
  </r>
  <r>
    <x v="1098"/>
    <x v="9"/>
    <x v="12"/>
    <n v="57"/>
    <x v="416"/>
    <x v="43"/>
    <d v="2025-02-15T00:00:00"/>
    <s v="F"/>
    <x v="0"/>
    <x v="0"/>
    <x v="0"/>
    <x v="8"/>
    <x v="1"/>
    <x v="6"/>
    <x v="2"/>
  </r>
  <r>
    <x v="1099"/>
    <x v="2"/>
    <x v="0"/>
    <n v="139.19999999999999"/>
    <x v="388"/>
    <x v="43"/>
    <d v="2025-02-14T00:00:00"/>
    <s v="F"/>
    <x v="3"/>
    <x v="2"/>
    <x v="0"/>
    <x v="8"/>
    <x v="3"/>
    <x v="6"/>
    <x v="2"/>
  </r>
  <r>
    <x v="1100"/>
    <x v="10"/>
    <x v="0"/>
    <n v="33"/>
    <x v="940"/>
    <x v="43"/>
    <d v="2025-02-16T00:00:00"/>
    <s v="F"/>
    <x v="0"/>
    <x v="2"/>
    <x v="0"/>
    <x v="8"/>
    <x v="2"/>
    <x v="6"/>
    <x v="2"/>
  </r>
  <r>
    <x v="1101"/>
    <x v="11"/>
    <x v="13"/>
    <n v="80.2"/>
    <x v="941"/>
    <x v="43"/>
    <d v="2025-02-15T00:00:00"/>
    <s v="M"/>
    <x v="1"/>
    <x v="4"/>
    <x v="0"/>
    <x v="8"/>
    <x v="1"/>
    <x v="6"/>
    <x v="1"/>
  </r>
  <r>
    <x v="1102"/>
    <x v="18"/>
    <x v="8"/>
    <n v="49"/>
    <x v="942"/>
    <x v="43"/>
    <d v="2025-02-14T00:00:00"/>
    <s v=""/>
    <x v="2"/>
    <x v="1"/>
    <x v="0"/>
    <x v="9"/>
    <x v="3"/>
    <x v="6"/>
    <x v="0"/>
  </r>
  <r>
    <x v="1103"/>
    <x v="1"/>
    <x v="12"/>
    <n v="104.4"/>
    <x v="943"/>
    <x v="43"/>
    <d v="2025-02-13T00:00:00"/>
    <s v="F"/>
    <x v="0"/>
    <x v="0"/>
    <x v="0"/>
    <x v="9"/>
    <x v="7"/>
    <x v="6"/>
    <x v="2"/>
  </r>
  <r>
    <x v="1104"/>
    <x v="3"/>
    <x v="0"/>
    <n v="41.6"/>
    <x v="480"/>
    <x v="43"/>
    <d v="2025-02-16T00:00:00"/>
    <s v="M"/>
    <x v="3"/>
    <x v="0"/>
    <x v="0"/>
    <x v="11"/>
    <x v="2"/>
    <x v="6"/>
    <x v="1"/>
  </r>
  <r>
    <x v="1105"/>
    <x v="19"/>
    <x v="1"/>
    <n v="16.399999999999999"/>
    <x v="944"/>
    <x v="43"/>
    <d v="2025-02-14T00:00:00"/>
    <s v="O"/>
    <x v="0"/>
    <x v="2"/>
    <x v="0"/>
    <x v="11"/>
    <x v="3"/>
    <x v="6"/>
    <x v="3"/>
  </r>
  <r>
    <x v="1106"/>
    <x v="8"/>
    <x v="1"/>
    <n v="22"/>
    <x v="945"/>
    <x v="43"/>
    <d v="2025-02-14T00:00:00"/>
    <s v="M"/>
    <x v="2"/>
    <x v="2"/>
    <x v="0"/>
    <x v="53"/>
    <x v="3"/>
    <x v="6"/>
    <x v="1"/>
  </r>
  <r>
    <x v="1107"/>
    <x v="15"/>
    <x v="1"/>
    <n v="33.6"/>
    <x v="863"/>
    <x v="43"/>
    <d v="2025-02-18T00:00:00"/>
    <s v="F"/>
    <x v="0"/>
    <x v="0"/>
    <x v="0"/>
    <x v="21"/>
    <x v="0"/>
    <x v="6"/>
    <x v="2"/>
  </r>
  <r>
    <x v="1108"/>
    <x v="11"/>
    <x v="13"/>
    <n v="43"/>
    <x v="946"/>
    <x v="43"/>
    <d v="2025-02-14T00:00:00"/>
    <s v="F"/>
    <x v="2"/>
    <x v="0"/>
    <x v="0"/>
    <x v="21"/>
    <x v="3"/>
    <x v="6"/>
    <x v="2"/>
  </r>
  <r>
    <x v="1109"/>
    <x v="6"/>
    <x v="9"/>
    <n v="108.8"/>
    <x v="947"/>
    <x v="43"/>
    <d v="2025-02-16T00:00:00"/>
    <s v="F"/>
    <x v="4"/>
    <x v="2"/>
    <x v="0"/>
    <x v="21"/>
    <x v="2"/>
    <x v="6"/>
    <x v="2"/>
  </r>
  <r>
    <x v="1110"/>
    <x v="0"/>
    <x v="11"/>
    <n v="29.3"/>
    <x v="948"/>
    <x v="43"/>
    <d v="2025-02-15T00:00:00"/>
    <s v="M"/>
    <x v="4"/>
    <x v="2"/>
    <x v="0"/>
    <x v="21"/>
    <x v="1"/>
    <x v="6"/>
    <x v="1"/>
  </r>
  <r>
    <x v="1111"/>
    <x v="2"/>
    <x v="0"/>
    <n v="122.7"/>
    <x v="949"/>
    <x v="43"/>
    <d v="2025-02-16T00:00:00"/>
    <s v="O"/>
    <x v="0"/>
    <x v="2"/>
    <x v="0"/>
    <x v="1"/>
    <x v="2"/>
    <x v="6"/>
    <x v="3"/>
  </r>
  <r>
    <x v="1112"/>
    <x v="4"/>
    <x v="3"/>
    <n v="22.9"/>
    <x v="950"/>
    <x v="43"/>
    <d v="2025-02-14T00:00:00"/>
    <s v="F"/>
    <x v="0"/>
    <x v="0"/>
    <x v="0"/>
    <x v="42"/>
    <x v="3"/>
    <x v="6"/>
    <x v="2"/>
  </r>
  <r>
    <x v="1113"/>
    <x v="8"/>
    <x v="7"/>
    <n v="25.5"/>
    <x v="951"/>
    <x v="43"/>
    <d v="2025-02-20T00:00:00"/>
    <s v="F"/>
    <x v="0"/>
    <x v="0"/>
    <x v="0"/>
    <x v="33"/>
    <x v="6"/>
    <x v="6"/>
    <x v="2"/>
  </r>
  <r>
    <x v="1114"/>
    <x v="17"/>
    <x v="2"/>
    <n v="23.4"/>
    <x v="952"/>
    <x v="43"/>
    <d v="2025-02-17T00:00:00"/>
    <s v="F"/>
    <x v="0"/>
    <x v="2"/>
    <x v="0"/>
    <x v="3"/>
    <x v="5"/>
    <x v="6"/>
    <x v="2"/>
  </r>
  <r>
    <x v="1115"/>
    <x v="5"/>
    <x v="8"/>
    <n v="27.4"/>
    <x v="77"/>
    <x v="43"/>
    <d v="2025-02-16T00:00:00"/>
    <s v="F"/>
    <x v="2"/>
    <x v="0"/>
    <x v="0"/>
    <x v="3"/>
    <x v="2"/>
    <x v="6"/>
    <x v="2"/>
  </r>
  <r>
    <x v="1116"/>
    <x v="5"/>
    <x v="9"/>
    <n v="68.400000000000006"/>
    <x v="953"/>
    <x v="43"/>
    <d v="2025-02-14T00:00:00"/>
    <s v="F"/>
    <x v="0"/>
    <x v="0"/>
    <x v="0"/>
    <x v="3"/>
    <x v="3"/>
    <x v="6"/>
    <x v="2"/>
  </r>
  <r>
    <x v="1117"/>
    <x v="6"/>
    <x v="0"/>
    <n v="51.9"/>
    <x v="954"/>
    <x v="43"/>
    <d v="2025-02-13T00:00:00"/>
    <s v="F"/>
    <x v="0"/>
    <x v="0"/>
    <x v="0"/>
    <x v="3"/>
    <x v="7"/>
    <x v="6"/>
    <x v="2"/>
  </r>
  <r>
    <x v="1118"/>
    <x v="0"/>
    <x v="9"/>
    <n v="26.4"/>
    <x v="955"/>
    <x v="43"/>
    <d v="2025-02-16T00:00:00"/>
    <s v="F"/>
    <x v="0"/>
    <x v="2"/>
    <x v="0"/>
    <x v="3"/>
    <x v="2"/>
    <x v="6"/>
    <x v="2"/>
  </r>
  <r>
    <x v="1119"/>
    <x v="12"/>
    <x v="1"/>
    <n v="117"/>
    <x v="540"/>
    <x v="43"/>
    <d v="2025-02-14T00:00:00"/>
    <s v="F"/>
    <x v="1"/>
    <x v="1"/>
    <x v="0"/>
    <x v="3"/>
    <x v="3"/>
    <x v="6"/>
    <x v="2"/>
  </r>
  <r>
    <x v="1120"/>
    <x v="7"/>
    <x v="2"/>
    <n v="49.6"/>
    <x v="956"/>
    <x v="44"/>
    <d v="2025-02-16T00:00:00"/>
    <s v="F"/>
    <x v="0"/>
    <x v="0"/>
    <x v="0"/>
    <x v="3"/>
    <x v="1"/>
    <x v="6"/>
    <x v="2"/>
  </r>
  <r>
    <x v="1121"/>
    <x v="4"/>
    <x v="2"/>
    <n v="38"/>
    <x v="717"/>
    <x v="44"/>
    <d v="2025-02-17T00:00:00"/>
    <s v="M"/>
    <x v="2"/>
    <x v="4"/>
    <x v="0"/>
    <x v="3"/>
    <x v="2"/>
    <x v="6"/>
    <x v="1"/>
  </r>
  <r>
    <x v="1122"/>
    <x v="0"/>
    <x v="2"/>
    <n v="20.6"/>
    <x v="957"/>
    <x v="44"/>
    <d v="2025-02-16T00:00:00"/>
    <s v="F"/>
    <x v="4"/>
    <x v="2"/>
    <x v="0"/>
    <x v="3"/>
    <x v="1"/>
    <x v="6"/>
    <x v="2"/>
  </r>
  <r>
    <x v="1123"/>
    <x v="0"/>
    <x v="1"/>
    <n v="16"/>
    <x v="109"/>
    <x v="44"/>
    <d v="2025-02-15T00:00:00"/>
    <s v="M"/>
    <x v="1"/>
    <x v="1"/>
    <x v="0"/>
    <x v="49"/>
    <x v="3"/>
    <x v="6"/>
    <x v="1"/>
  </r>
  <r>
    <x v="1124"/>
    <x v="15"/>
    <x v="12"/>
    <n v="49.3"/>
    <x v="958"/>
    <x v="44"/>
    <d v="2025-02-15T00:00:00"/>
    <s v="F"/>
    <x v="2"/>
    <x v="0"/>
    <x v="0"/>
    <x v="23"/>
    <x v="3"/>
    <x v="6"/>
    <x v="2"/>
  </r>
  <r>
    <x v="1125"/>
    <x v="9"/>
    <x v="1"/>
    <n v="24.1"/>
    <x v="959"/>
    <x v="44"/>
    <d v="2025-02-18T00:00:00"/>
    <s v="F"/>
    <x v="0"/>
    <x v="0"/>
    <x v="0"/>
    <x v="6"/>
    <x v="5"/>
    <x v="6"/>
    <x v="2"/>
  </r>
  <r>
    <x v="1126"/>
    <x v="15"/>
    <x v="8"/>
    <n v="32.700000000000003"/>
    <x v="960"/>
    <x v="44"/>
    <d v="2025-02-15T00:00:00"/>
    <s v="F"/>
    <x v="1"/>
    <x v="0"/>
    <x v="0"/>
    <x v="6"/>
    <x v="3"/>
    <x v="6"/>
    <x v="2"/>
  </r>
  <r>
    <x v="1127"/>
    <x v="6"/>
    <x v="2"/>
    <n v="74.400000000000006"/>
    <x v="961"/>
    <x v="44"/>
    <d v="2025-02-15T00:00:00"/>
    <s v="F"/>
    <x v="3"/>
    <x v="2"/>
    <x v="0"/>
    <x v="8"/>
    <x v="3"/>
    <x v="6"/>
    <x v="2"/>
  </r>
  <r>
    <x v="1128"/>
    <x v="12"/>
    <x v="0"/>
    <n v="45.6"/>
    <x v="962"/>
    <x v="44"/>
    <d v="2025-02-18T00:00:00"/>
    <s v="F"/>
    <x v="4"/>
    <x v="0"/>
    <x v="0"/>
    <x v="8"/>
    <x v="5"/>
    <x v="6"/>
    <x v="2"/>
  </r>
  <r>
    <x v="1129"/>
    <x v="8"/>
    <x v="8"/>
    <n v="19.600000000000001"/>
    <x v="963"/>
    <x v="44"/>
    <d v="2025-02-27T00:00:00"/>
    <s v="F"/>
    <x v="0"/>
    <x v="0"/>
    <x v="0"/>
    <x v="8"/>
    <x v="10"/>
    <x v="6"/>
    <x v="2"/>
  </r>
  <r>
    <x v="1130"/>
    <x v="9"/>
    <x v="0"/>
    <n v="51.8"/>
    <x v="964"/>
    <x v="44"/>
    <d v="2025-02-15T00:00:00"/>
    <s v="F"/>
    <x v="1"/>
    <x v="0"/>
    <x v="0"/>
    <x v="8"/>
    <x v="3"/>
    <x v="6"/>
    <x v="2"/>
  </r>
  <r>
    <x v="1131"/>
    <x v="6"/>
    <x v="0"/>
    <n v="74.7"/>
    <x v="965"/>
    <x v="44"/>
    <d v="2025-02-15T00:00:00"/>
    <s v="M"/>
    <x v="0"/>
    <x v="1"/>
    <x v="0"/>
    <x v="8"/>
    <x v="3"/>
    <x v="6"/>
    <x v="1"/>
  </r>
  <r>
    <x v="1132"/>
    <x v="19"/>
    <x v="2"/>
    <n v="22.4"/>
    <x v="966"/>
    <x v="44"/>
    <d v="2025-02-15T00:00:00"/>
    <s v="F"/>
    <x v="1"/>
    <x v="2"/>
    <x v="0"/>
    <x v="9"/>
    <x v="3"/>
    <x v="6"/>
    <x v="2"/>
  </r>
  <r>
    <x v="1133"/>
    <x v="1"/>
    <x v="12"/>
    <n v="31.4"/>
    <x v="967"/>
    <x v="44"/>
    <d v="2025-02-15T00:00:00"/>
    <s v="F"/>
    <x v="1"/>
    <x v="0"/>
    <x v="0"/>
    <x v="9"/>
    <x v="3"/>
    <x v="6"/>
    <x v="2"/>
  </r>
  <r>
    <x v="1134"/>
    <x v="6"/>
    <x v="0"/>
    <n v="94"/>
    <x v="255"/>
    <x v="44"/>
    <d v="2025-02-14T00:00:00"/>
    <s v="F"/>
    <x v="1"/>
    <x v="2"/>
    <x v="0"/>
    <x v="10"/>
    <x v="7"/>
    <x v="6"/>
    <x v="2"/>
  </r>
  <r>
    <x v="1135"/>
    <x v="10"/>
    <x v="0"/>
    <n v="22.3"/>
    <x v="968"/>
    <x v="44"/>
    <d v="2025-02-15T00:00:00"/>
    <s v="M"/>
    <x v="4"/>
    <x v="0"/>
    <x v="0"/>
    <x v="20"/>
    <x v="3"/>
    <x v="6"/>
    <x v="1"/>
  </r>
  <r>
    <x v="1136"/>
    <x v="0"/>
    <x v="0"/>
    <n v="21.9"/>
    <x v="731"/>
    <x v="44"/>
    <d v="2025-02-17T00:00:00"/>
    <s v="F"/>
    <x v="2"/>
    <x v="0"/>
    <x v="0"/>
    <x v="21"/>
    <x v="2"/>
    <x v="6"/>
    <x v="2"/>
  </r>
  <r>
    <x v="1137"/>
    <x v="17"/>
    <x v="2"/>
    <n v="27"/>
    <x v="969"/>
    <x v="44"/>
    <d v="2025-02-16T00:00:00"/>
    <s v="F"/>
    <x v="4"/>
    <x v="2"/>
    <x v="0"/>
    <x v="2"/>
    <x v="1"/>
    <x v="6"/>
    <x v="2"/>
  </r>
  <r>
    <x v="1138"/>
    <x v="2"/>
    <x v="12"/>
    <n v="149.6"/>
    <x v="970"/>
    <x v="44"/>
    <d v="2025-02-14T00:00:00"/>
    <s v="F"/>
    <x v="4"/>
    <x v="0"/>
    <x v="0"/>
    <x v="22"/>
    <x v="7"/>
    <x v="6"/>
    <x v="2"/>
  </r>
  <r>
    <x v="1139"/>
    <x v="2"/>
    <x v="12"/>
    <n v="129.1"/>
    <x v="971"/>
    <x v="44"/>
    <d v="2025-02-24T00:00:00"/>
    <s v="M"/>
    <x v="0"/>
    <x v="1"/>
    <x v="0"/>
    <x v="3"/>
    <x v="14"/>
    <x v="6"/>
    <x v="1"/>
  </r>
  <r>
    <x v="1140"/>
    <x v="1"/>
    <x v="4"/>
    <n v="40.4"/>
    <x v="972"/>
    <x v="44"/>
    <d v="2025-02-15T00:00:00"/>
    <s v="M"/>
    <x v="1"/>
    <x v="1"/>
    <x v="0"/>
    <x v="3"/>
    <x v="3"/>
    <x v="6"/>
    <x v="1"/>
  </r>
  <r>
    <x v="1141"/>
    <x v="4"/>
    <x v="2"/>
    <n v="48.5"/>
    <x v="973"/>
    <x v="44"/>
    <d v="2025-02-16T00:00:00"/>
    <s v="F"/>
    <x v="0"/>
    <x v="4"/>
    <x v="0"/>
    <x v="3"/>
    <x v="1"/>
    <x v="6"/>
    <x v="2"/>
  </r>
  <r>
    <x v="1142"/>
    <x v="9"/>
    <x v="1"/>
    <n v="37.6"/>
    <x v="495"/>
    <x v="44"/>
    <d v="2025-02-16T00:00:00"/>
    <s v="F"/>
    <x v="1"/>
    <x v="2"/>
    <x v="0"/>
    <x v="3"/>
    <x v="1"/>
    <x v="6"/>
    <x v="2"/>
  </r>
  <r>
    <x v="1143"/>
    <x v="8"/>
    <x v="1"/>
    <n v="19.600000000000001"/>
    <x v="496"/>
    <x v="44"/>
    <d v="2025-02-15T00:00:00"/>
    <s v="M"/>
    <x v="3"/>
    <x v="4"/>
    <x v="0"/>
    <x v="43"/>
    <x v="3"/>
    <x v="6"/>
    <x v="1"/>
  </r>
  <r>
    <x v="1144"/>
    <x v="8"/>
    <x v="9"/>
    <n v="18.5"/>
    <x v="974"/>
    <x v="44"/>
    <d v="2025-02-15T00:00:00"/>
    <s v="F"/>
    <x v="2"/>
    <x v="1"/>
    <x v="0"/>
    <x v="6"/>
    <x v="3"/>
    <x v="6"/>
    <x v="2"/>
  </r>
  <r>
    <x v="1145"/>
    <x v="5"/>
    <x v="2"/>
    <n v="25.5"/>
    <x v="514"/>
    <x v="44"/>
    <d v="2025-02-16T00:00:00"/>
    <s v="F"/>
    <x v="4"/>
    <x v="1"/>
    <x v="0"/>
    <x v="6"/>
    <x v="1"/>
    <x v="6"/>
    <x v="2"/>
  </r>
  <r>
    <x v="1146"/>
    <x v="2"/>
    <x v="1"/>
    <n v="94.7"/>
    <x v="975"/>
    <x v="44"/>
    <d v="2025-02-15T00:00:00"/>
    <s v="F"/>
    <x v="2"/>
    <x v="0"/>
    <x v="0"/>
    <x v="36"/>
    <x v="3"/>
    <x v="6"/>
    <x v="2"/>
  </r>
  <r>
    <x v="1147"/>
    <x v="1"/>
    <x v="13"/>
    <n v="38.799999999999997"/>
    <x v="976"/>
    <x v="44"/>
    <d v="2025-02-19T00:00:00"/>
    <s v="F"/>
    <x v="2"/>
    <x v="2"/>
    <x v="0"/>
    <x v="8"/>
    <x v="0"/>
    <x v="6"/>
    <x v="2"/>
  </r>
  <r>
    <x v="1148"/>
    <x v="9"/>
    <x v="1"/>
    <n v="49.4"/>
    <x v="197"/>
    <x v="45"/>
    <d v="2025-02-23T00:00:00"/>
    <s v="M"/>
    <x v="4"/>
    <x v="1"/>
    <x v="0"/>
    <x v="8"/>
    <x v="9"/>
    <x v="6"/>
    <x v="1"/>
  </r>
  <r>
    <x v="1149"/>
    <x v="7"/>
    <x v="2"/>
    <n v="68"/>
    <x v="977"/>
    <x v="45"/>
    <d v="2025-02-18T00:00:00"/>
    <s v="M"/>
    <x v="0"/>
    <x v="2"/>
    <x v="0"/>
    <x v="8"/>
    <x v="2"/>
    <x v="6"/>
    <x v="1"/>
  </r>
  <r>
    <x v="1150"/>
    <x v="15"/>
    <x v="3"/>
    <n v="63.7"/>
    <x v="978"/>
    <x v="45"/>
    <d v="2025-02-16T00:00:00"/>
    <s v="F"/>
    <x v="2"/>
    <x v="2"/>
    <x v="0"/>
    <x v="8"/>
    <x v="3"/>
    <x v="6"/>
    <x v="2"/>
  </r>
  <r>
    <x v="1151"/>
    <x v="10"/>
    <x v="1"/>
    <n v="66.2"/>
    <x v="979"/>
    <x v="45"/>
    <d v="2025-02-16T00:00:00"/>
    <s v="F"/>
    <x v="4"/>
    <x v="2"/>
    <x v="0"/>
    <x v="17"/>
    <x v="3"/>
    <x v="6"/>
    <x v="2"/>
  </r>
  <r>
    <x v="1152"/>
    <x v="12"/>
    <x v="2"/>
    <n v="32.299999999999997"/>
    <x v="980"/>
    <x v="45"/>
    <d v="2025-02-16T00:00:00"/>
    <s v="O"/>
    <x v="2"/>
    <x v="1"/>
    <x v="0"/>
    <x v="9"/>
    <x v="3"/>
    <x v="6"/>
    <x v="3"/>
  </r>
  <r>
    <x v="1153"/>
    <x v="4"/>
    <x v="1"/>
    <n v="66.900000000000006"/>
    <x v="981"/>
    <x v="45"/>
    <d v="2025-02-18T00:00:00"/>
    <s v="M"/>
    <x v="1"/>
    <x v="0"/>
    <x v="0"/>
    <x v="11"/>
    <x v="2"/>
    <x v="6"/>
    <x v="1"/>
  </r>
  <r>
    <x v="1154"/>
    <x v="4"/>
    <x v="4"/>
    <n v="25.2"/>
    <x v="982"/>
    <x v="45"/>
    <d v="2025-02-19T00:00:00"/>
    <s v="F"/>
    <x v="0"/>
    <x v="1"/>
    <x v="0"/>
    <x v="11"/>
    <x v="5"/>
    <x v="6"/>
    <x v="2"/>
  </r>
  <r>
    <x v="1155"/>
    <x v="10"/>
    <x v="13"/>
    <n v="29.5"/>
    <x v="983"/>
    <x v="45"/>
    <d v="2025-02-16T00:00:00"/>
    <s v="M"/>
    <x v="2"/>
    <x v="0"/>
    <x v="0"/>
    <x v="11"/>
    <x v="3"/>
    <x v="6"/>
    <x v="1"/>
  </r>
  <r>
    <x v="1156"/>
    <x v="8"/>
    <x v="9"/>
    <n v="21.6"/>
    <x v="807"/>
    <x v="45"/>
    <d v="2025-02-17T00:00:00"/>
    <s v="F"/>
    <x v="0"/>
    <x v="2"/>
    <x v="0"/>
    <x v="32"/>
    <x v="1"/>
    <x v="6"/>
    <x v="2"/>
  </r>
  <r>
    <x v="1157"/>
    <x v="12"/>
    <x v="2"/>
    <n v="69"/>
    <x v="461"/>
    <x v="45"/>
    <d v="2025-02-16T00:00:00"/>
    <s v="F"/>
    <x v="0"/>
    <x v="0"/>
    <x v="0"/>
    <x v="18"/>
    <x v="3"/>
    <x v="6"/>
    <x v="2"/>
  </r>
  <r>
    <x v="1158"/>
    <x v="7"/>
    <x v="1"/>
    <n v="115"/>
    <x v="984"/>
    <x v="45"/>
    <d v="2025-02-19T00:00:00"/>
    <s v="M"/>
    <x v="0"/>
    <x v="2"/>
    <x v="0"/>
    <x v="18"/>
    <x v="5"/>
    <x v="6"/>
    <x v="1"/>
  </r>
  <r>
    <x v="1159"/>
    <x v="2"/>
    <x v="1"/>
    <n v="109.3"/>
    <x v="985"/>
    <x v="45"/>
    <d v="2025-02-17T00:00:00"/>
    <s v=""/>
    <x v="3"/>
    <x v="1"/>
    <x v="0"/>
    <x v="19"/>
    <x v="1"/>
    <x v="6"/>
    <x v="0"/>
  </r>
  <r>
    <x v="1160"/>
    <x v="9"/>
    <x v="1"/>
    <n v="66.599999999999994"/>
    <x v="986"/>
    <x v="45"/>
    <d v="2025-02-18T00:00:00"/>
    <s v=""/>
    <x v="4"/>
    <x v="1"/>
    <x v="0"/>
    <x v="19"/>
    <x v="2"/>
    <x v="6"/>
    <x v="0"/>
  </r>
  <r>
    <x v="1161"/>
    <x v="12"/>
    <x v="9"/>
    <n v="47.7"/>
    <x v="987"/>
    <x v="45"/>
    <d v="2025-02-16T00:00:00"/>
    <s v="M"/>
    <x v="3"/>
    <x v="2"/>
    <x v="0"/>
    <x v="21"/>
    <x v="3"/>
    <x v="6"/>
    <x v="1"/>
  </r>
  <r>
    <x v="1162"/>
    <x v="8"/>
    <x v="1"/>
    <n v="46"/>
    <x v="988"/>
    <x v="45"/>
    <d v="2025-02-16T00:00:00"/>
    <s v="F"/>
    <x v="4"/>
    <x v="4"/>
    <x v="0"/>
    <x v="22"/>
    <x v="3"/>
    <x v="6"/>
    <x v="2"/>
  </r>
  <r>
    <x v="1163"/>
    <x v="1"/>
    <x v="13"/>
    <n v="39.299999999999997"/>
    <x v="989"/>
    <x v="45"/>
    <d v="2025-02-17T00:00:00"/>
    <s v="M"/>
    <x v="3"/>
    <x v="2"/>
    <x v="0"/>
    <x v="3"/>
    <x v="1"/>
    <x v="6"/>
    <x v="1"/>
  </r>
  <r>
    <x v="1164"/>
    <x v="9"/>
    <x v="0"/>
    <n v="70.2"/>
    <x v="474"/>
    <x v="45"/>
    <d v="2025-02-16T00:00:00"/>
    <s v="F"/>
    <x v="0"/>
    <x v="4"/>
    <x v="0"/>
    <x v="3"/>
    <x v="3"/>
    <x v="6"/>
    <x v="2"/>
  </r>
  <r>
    <x v="1165"/>
    <x v="3"/>
    <x v="12"/>
    <n v="71.5"/>
    <x v="990"/>
    <x v="45"/>
    <d v="2025-02-15T00:00:00"/>
    <s v="F"/>
    <x v="1"/>
    <x v="2"/>
    <x v="0"/>
    <x v="3"/>
    <x v="7"/>
    <x v="6"/>
    <x v="2"/>
  </r>
  <r>
    <x v="1166"/>
    <x v="10"/>
    <x v="3"/>
    <n v="31"/>
    <x v="991"/>
    <x v="45"/>
    <d v="2025-02-22T00:00:00"/>
    <s v="F"/>
    <x v="3"/>
    <x v="2"/>
    <x v="0"/>
    <x v="3"/>
    <x v="6"/>
    <x v="6"/>
    <x v="2"/>
  </r>
  <r>
    <x v="1167"/>
    <x v="2"/>
    <x v="9"/>
    <n v="68.2"/>
    <x v="992"/>
    <x v="45"/>
    <d v="2025-02-20T00:00:00"/>
    <s v="F"/>
    <x v="0"/>
    <x v="2"/>
    <x v="0"/>
    <x v="3"/>
    <x v="0"/>
    <x v="6"/>
    <x v="2"/>
  </r>
  <r>
    <x v="1168"/>
    <x v="2"/>
    <x v="0"/>
    <n v="91.4"/>
    <x v="411"/>
    <x v="45"/>
    <d v="2025-02-19T00:00:00"/>
    <s v="F"/>
    <x v="1"/>
    <x v="2"/>
    <x v="0"/>
    <x v="6"/>
    <x v="5"/>
    <x v="6"/>
    <x v="2"/>
  </r>
  <r>
    <x v="1169"/>
    <x v="6"/>
    <x v="7"/>
    <n v="112.9"/>
    <x v="993"/>
    <x v="45"/>
    <d v="2025-02-16T00:00:00"/>
    <s v="F"/>
    <x v="0"/>
    <x v="0"/>
    <x v="0"/>
    <x v="6"/>
    <x v="3"/>
    <x v="6"/>
    <x v="2"/>
  </r>
  <r>
    <x v="1170"/>
    <x v="17"/>
    <x v="11"/>
    <n v="33.700000000000003"/>
    <x v="994"/>
    <x v="45"/>
    <d v="2025-02-16T00:00:00"/>
    <s v="F"/>
    <x v="1"/>
    <x v="2"/>
    <x v="0"/>
    <x v="8"/>
    <x v="3"/>
    <x v="6"/>
    <x v="2"/>
  </r>
  <r>
    <x v="1171"/>
    <x v="15"/>
    <x v="7"/>
    <n v="35.299999999999997"/>
    <x v="995"/>
    <x v="45"/>
    <d v="2025-02-17T00:00:00"/>
    <s v="M"/>
    <x v="2"/>
    <x v="0"/>
    <x v="0"/>
    <x v="8"/>
    <x v="1"/>
    <x v="6"/>
    <x v="1"/>
  </r>
  <r>
    <x v="1172"/>
    <x v="18"/>
    <x v="2"/>
    <n v="45.6"/>
    <x v="996"/>
    <x v="45"/>
    <d v="2025-02-19T00:00:00"/>
    <s v="M"/>
    <x v="3"/>
    <x v="0"/>
    <x v="0"/>
    <x v="8"/>
    <x v="5"/>
    <x v="6"/>
    <x v="1"/>
  </r>
  <r>
    <x v="1173"/>
    <x v="7"/>
    <x v="3"/>
    <n v="47.1"/>
    <x v="847"/>
    <x v="45"/>
    <d v="2025-02-16T00:00:00"/>
    <s v="F"/>
    <x v="4"/>
    <x v="2"/>
    <x v="0"/>
    <x v="9"/>
    <x v="3"/>
    <x v="6"/>
    <x v="2"/>
  </r>
  <r>
    <x v="1174"/>
    <x v="8"/>
    <x v="9"/>
    <n v="16.2"/>
    <x v="969"/>
    <x v="45"/>
    <d v="2025-02-17T00:00:00"/>
    <s v="F"/>
    <x v="3"/>
    <x v="2"/>
    <x v="0"/>
    <x v="19"/>
    <x v="1"/>
    <x v="6"/>
    <x v="2"/>
  </r>
  <r>
    <x v="1175"/>
    <x v="1"/>
    <x v="1"/>
    <n v="159.69999999999999"/>
    <x v="997"/>
    <x v="46"/>
    <d v="2025-02-17T00:00:00"/>
    <s v="M"/>
    <x v="4"/>
    <x v="0"/>
    <x v="0"/>
    <x v="13"/>
    <x v="3"/>
    <x v="7"/>
    <x v="1"/>
  </r>
  <r>
    <x v="1176"/>
    <x v="8"/>
    <x v="12"/>
    <n v="19"/>
    <x v="998"/>
    <x v="46"/>
    <d v="2025-02-23T00:00:00"/>
    <s v="F"/>
    <x v="2"/>
    <x v="2"/>
    <x v="0"/>
    <x v="21"/>
    <x v="6"/>
    <x v="7"/>
    <x v="2"/>
  </r>
  <r>
    <x v="1177"/>
    <x v="6"/>
    <x v="13"/>
    <n v="91.1"/>
    <x v="999"/>
    <x v="46"/>
    <d v="2025-02-25T00:00:00"/>
    <s v="F"/>
    <x v="4"/>
    <x v="0"/>
    <x v="0"/>
    <x v="21"/>
    <x v="8"/>
    <x v="7"/>
    <x v="2"/>
  </r>
  <r>
    <x v="1178"/>
    <x v="2"/>
    <x v="9"/>
    <n v="94.1"/>
    <x v="1000"/>
    <x v="46"/>
    <d v="2025-02-19T00:00:00"/>
    <s v=""/>
    <x v="1"/>
    <x v="1"/>
    <x v="0"/>
    <x v="21"/>
    <x v="2"/>
    <x v="7"/>
    <x v="0"/>
  </r>
  <r>
    <x v="1179"/>
    <x v="9"/>
    <x v="11"/>
    <n v="21.1"/>
    <x v="1001"/>
    <x v="46"/>
    <d v="2025-02-17T00:00:00"/>
    <s v="F"/>
    <x v="4"/>
    <x v="2"/>
    <x v="0"/>
    <x v="51"/>
    <x v="3"/>
    <x v="7"/>
    <x v="2"/>
  </r>
  <r>
    <x v="1180"/>
    <x v="8"/>
    <x v="3"/>
    <n v="15.3"/>
    <x v="1002"/>
    <x v="46"/>
    <d v="2025-02-24T00:00:00"/>
    <s v="F"/>
    <x v="2"/>
    <x v="0"/>
    <x v="0"/>
    <x v="1"/>
    <x v="9"/>
    <x v="7"/>
    <x v="2"/>
  </r>
  <r>
    <x v="1181"/>
    <x v="15"/>
    <x v="12"/>
    <n v="21.3"/>
    <x v="464"/>
    <x v="46"/>
    <d v="2025-02-19T00:00:00"/>
    <s v="M"/>
    <x v="1"/>
    <x v="0"/>
    <x v="0"/>
    <x v="3"/>
    <x v="2"/>
    <x v="7"/>
    <x v="1"/>
  </r>
  <r>
    <x v="1182"/>
    <x v="0"/>
    <x v="1"/>
    <n v="23.2"/>
    <x v="434"/>
    <x v="46"/>
    <d v="2025-02-16T00:00:00"/>
    <s v=""/>
    <x v="3"/>
    <x v="1"/>
    <x v="0"/>
    <x v="3"/>
    <x v="7"/>
    <x v="7"/>
    <x v="0"/>
  </r>
  <r>
    <x v="1183"/>
    <x v="4"/>
    <x v="2"/>
    <n v="25.7"/>
    <x v="1003"/>
    <x v="46"/>
    <d v="2025-02-17T00:00:00"/>
    <s v="M"/>
    <x v="4"/>
    <x v="0"/>
    <x v="0"/>
    <x v="3"/>
    <x v="3"/>
    <x v="7"/>
    <x v="1"/>
  </r>
  <r>
    <x v="1184"/>
    <x v="0"/>
    <x v="11"/>
    <n v="31.6"/>
    <x v="1004"/>
    <x v="46"/>
    <d v="2025-02-18T00:00:00"/>
    <s v="F"/>
    <x v="0"/>
    <x v="0"/>
    <x v="0"/>
    <x v="3"/>
    <x v="1"/>
    <x v="7"/>
    <x v="2"/>
  </r>
  <r>
    <x v="1185"/>
    <x v="6"/>
    <x v="0"/>
    <n v="64.2"/>
    <x v="1005"/>
    <x v="46"/>
    <d v="2025-02-21T00:00:00"/>
    <s v="M"/>
    <x v="0"/>
    <x v="0"/>
    <x v="0"/>
    <x v="3"/>
    <x v="0"/>
    <x v="7"/>
    <x v="1"/>
  </r>
  <r>
    <x v="1186"/>
    <x v="8"/>
    <x v="1"/>
    <n v="55.8"/>
    <x v="1006"/>
    <x v="46"/>
    <d v="2025-02-18T00:00:00"/>
    <s v=""/>
    <x v="0"/>
    <x v="0"/>
    <x v="0"/>
    <x v="3"/>
    <x v="1"/>
    <x v="7"/>
    <x v="0"/>
  </r>
  <r>
    <x v="1187"/>
    <x v="8"/>
    <x v="1"/>
    <n v="28.1"/>
    <x v="1007"/>
    <x v="46"/>
    <d v="2025-02-17T00:00:00"/>
    <s v="F"/>
    <x v="4"/>
    <x v="1"/>
    <x v="0"/>
    <x v="3"/>
    <x v="3"/>
    <x v="7"/>
    <x v="2"/>
  </r>
  <r>
    <x v="1188"/>
    <x v="0"/>
    <x v="1"/>
    <n v="11.6"/>
    <x v="772"/>
    <x v="46"/>
    <d v="2025-02-18T00:00:00"/>
    <s v="F"/>
    <x v="1"/>
    <x v="0"/>
    <x v="0"/>
    <x v="24"/>
    <x v="1"/>
    <x v="7"/>
    <x v="2"/>
  </r>
  <r>
    <x v="1189"/>
    <x v="5"/>
    <x v="2"/>
    <n v="50.4"/>
    <x v="277"/>
    <x v="46"/>
    <d v="2025-02-17T00:00:00"/>
    <s v="M"/>
    <x v="4"/>
    <x v="2"/>
    <x v="0"/>
    <x v="25"/>
    <x v="3"/>
    <x v="7"/>
    <x v="1"/>
  </r>
  <r>
    <x v="1190"/>
    <x v="6"/>
    <x v="13"/>
    <n v="48.3"/>
    <x v="1008"/>
    <x v="46"/>
    <d v="2025-02-20T00:00:00"/>
    <s v="F"/>
    <x v="0"/>
    <x v="0"/>
    <x v="0"/>
    <x v="25"/>
    <x v="5"/>
    <x v="7"/>
    <x v="2"/>
  </r>
  <r>
    <x v="1191"/>
    <x v="17"/>
    <x v="3"/>
    <n v="32.200000000000003"/>
    <x v="1009"/>
    <x v="46"/>
    <d v="2025-02-18T00:00:00"/>
    <s v="F"/>
    <x v="2"/>
    <x v="0"/>
    <x v="0"/>
    <x v="25"/>
    <x v="1"/>
    <x v="7"/>
    <x v="2"/>
  </r>
  <r>
    <x v="1192"/>
    <x v="7"/>
    <x v="31"/>
    <n v="48.5"/>
    <x v="1010"/>
    <x v="46"/>
    <d v="2025-02-17T00:00:00"/>
    <s v="M"/>
    <x v="0"/>
    <x v="0"/>
    <x v="0"/>
    <x v="5"/>
    <x v="3"/>
    <x v="7"/>
    <x v="1"/>
  </r>
  <r>
    <x v="1193"/>
    <x v="2"/>
    <x v="9"/>
    <n v="62"/>
    <x v="892"/>
    <x v="46"/>
    <d v="2025-02-19T00:00:00"/>
    <s v="F"/>
    <x v="1"/>
    <x v="0"/>
    <x v="0"/>
    <x v="6"/>
    <x v="2"/>
    <x v="7"/>
    <x v="2"/>
  </r>
  <r>
    <x v="1194"/>
    <x v="8"/>
    <x v="2"/>
    <n v="32.1"/>
    <x v="219"/>
    <x v="47"/>
    <d v="2025-02-19T00:00:00"/>
    <s v="M"/>
    <x v="0"/>
    <x v="0"/>
    <x v="0"/>
    <x v="6"/>
    <x v="1"/>
    <x v="7"/>
    <x v="1"/>
  </r>
  <r>
    <x v="1195"/>
    <x v="12"/>
    <x v="2"/>
    <n v="106.1"/>
    <x v="1011"/>
    <x v="47"/>
    <d v="2025-02-19T00:00:00"/>
    <s v="M"/>
    <x v="0"/>
    <x v="1"/>
    <x v="0"/>
    <x v="7"/>
    <x v="1"/>
    <x v="7"/>
    <x v="1"/>
  </r>
  <r>
    <x v="1196"/>
    <x v="10"/>
    <x v="2"/>
    <n v="23.5"/>
    <x v="1012"/>
    <x v="47"/>
    <d v="2025-02-20T00:00:00"/>
    <s v="M"/>
    <x v="0"/>
    <x v="4"/>
    <x v="0"/>
    <x v="7"/>
    <x v="2"/>
    <x v="7"/>
    <x v="1"/>
  </r>
  <r>
    <x v="1197"/>
    <x v="1"/>
    <x v="1"/>
    <n v="35.6"/>
    <x v="1013"/>
    <x v="47"/>
    <d v="2025-02-22T00:00:00"/>
    <s v="M"/>
    <x v="4"/>
    <x v="0"/>
    <x v="0"/>
    <x v="8"/>
    <x v="0"/>
    <x v="7"/>
    <x v="1"/>
  </r>
  <r>
    <x v="1198"/>
    <x v="1"/>
    <x v="1"/>
    <n v="63.5"/>
    <x v="520"/>
    <x v="47"/>
    <d v="2025-02-17T00:00:00"/>
    <s v="F"/>
    <x v="1"/>
    <x v="2"/>
    <x v="0"/>
    <x v="8"/>
    <x v="7"/>
    <x v="7"/>
    <x v="2"/>
  </r>
  <r>
    <x v="1199"/>
    <x v="6"/>
    <x v="3"/>
    <n v="82.9"/>
    <x v="1014"/>
    <x v="47"/>
    <d v="2025-02-22T00:00:00"/>
    <s v="F"/>
    <x v="4"/>
    <x v="0"/>
    <x v="0"/>
    <x v="9"/>
    <x v="0"/>
    <x v="7"/>
    <x v="2"/>
  </r>
  <r>
    <x v="1200"/>
    <x v="6"/>
    <x v="1"/>
    <n v="83.6"/>
    <x v="762"/>
    <x v="47"/>
    <d v="2025-02-22T00:00:00"/>
    <s v="F"/>
    <x v="0"/>
    <x v="0"/>
    <x v="0"/>
    <x v="11"/>
    <x v="0"/>
    <x v="7"/>
    <x v="2"/>
  </r>
  <r>
    <x v="1201"/>
    <x v="4"/>
    <x v="1"/>
    <n v="29.4"/>
    <x v="572"/>
    <x v="47"/>
    <d v="2025-02-17T00:00:00"/>
    <s v="F"/>
    <x v="0"/>
    <x v="1"/>
    <x v="0"/>
    <x v="30"/>
    <x v="7"/>
    <x v="7"/>
    <x v="2"/>
  </r>
  <r>
    <x v="1202"/>
    <x v="2"/>
    <x v="2"/>
    <n v="107.1"/>
    <x v="1015"/>
    <x v="47"/>
    <d v="2025-02-21T00:00:00"/>
    <s v="F"/>
    <x v="2"/>
    <x v="0"/>
    <x v="0"/>
    <x v="20"/>
    <x v="5"/>
    <x v="7"/>
    <x v="2"/>
  </r>
  <r>
    <x v="1203"/>
    <x v="2"/>
    <x v="0"/>
    <n v="62.7"/>
    <x v="1016"/>
    <x v="47"/>
    <d v="2025-02-21T00:00:00"/>
    <s v="M"/>
    <x v="1"/>
    <x v="0"/>
    <x v="0"/>
    <x v="21"/>
    <x v="5"/>
    <x v="7"/>
    <x v="1"/>
  </r>
  <r>
    <x v="1204"/>
    <x v="11"/>
    <x v="0"/>
    <n v="41.6"/>
    <x v="480"/>
    <x v="47"/>
    <d v="2025-02-18T00:00:00"/>
    <s v="M"/>
    <x v="0"/>
    <x v="1"/>
    <x v="0"/>
    <x v="1"/>
    <x v="3"/>
    <x v="7"/>
    <x v="1"/>
  </r>
  <r>
    <x v="1205"/>
    <x v="6"/>
    <x v="0"/>
    <n v="44.2"/>
    <x v="573"/>
    <x v="47"/>
    <d v="2025-02-18T00:00:00"/>
    <s v="O"/>
    <x v="0"/>
    <x v="1"/>
    <x v="0"/>
    <x v="1"/>
    <x v="3"/>
    <x v="7"/>
    <x v="3"/>
  </r>
  <r>
    <x v="1206"/>
    <x v="4"/>
    <x v="13"/>
    <n v="40.4"/>
    <x v="1017"/>
    <x v="47"/>
    <d v="2025-03-02T00:00:00"/>
    <s v="F"/>
    <x v="2"/>
    <x v="0"/>
    <x v="0"/>
    <x v="22"/>
    <x v="10"/>
    <x v="7"/>
    <x v="2"/>
  </r>
  <r>
    <x v="1207"/>
    <x v="15"/>
    <x v="13"/>
    <n v="59.6"/>
    <x v="1018"/>
    <x v="47"/>
    <d v="2025-02-18T00:00:00"/>
    <s v="F"/>
    <x v="4"/>
    <x v="0"/>
    <x v="0"/>
    <x v="34"/>
    <x v="3"/>
    <x v="7"/>
    <x v="2"/>
  </r>
  <r>
    <x v="1208"/>
    <x v="17"/>
    <x v="4"/>
    <n v="63.8"/>
    <x v="1019"/>
    <x v="47"/>
    <d v="2025-02-18T00:00:00"/>
    <s v="M"/>
    <x v="1"/>
    <x v="0"/>
    <x v="0"/>
    <x v="3"/>
    <x v="3"/>
    <x v="7"/>
    <x v="1"/>
  </r>
  <r>
    <x v="1209"/>
    <x v="9"/>
    <x v="13"/>
    <n v="30.8"/>
    <x v="827"/>
    <x v="47"/>
    <d v="2025-02-19T00:00:00"/>
    <s v="M"/>
    <x v="4"/>
    <x v="0"/>
    <x v="0"/>
    <x v="3"/>
    <x v="1"/>
    <x v="7"/>
    <x v="1"/>
  </r>
  <r>
    <x v="1210"/>
    <x v="1"/>
    <x v="1"/>
    <n v="41.5"/>
    <x v="470"/>
    <x v="47"/>
    <d v="2025-02-20T00:00:00"/>
    <s v="O"/>
    <x v="0"/>
    <x v="0"/>
    <x v="0"/>
    <x v="3"/>
    <x v="2"/>
    <x v="7"/>
    <x v="3"/>
  </r>
  <r>
    <x v="1211"/>
    <x v="10"/>
    <x v="12"/>
    <n v="44.7"/>
    <x v="1020"/>
    <x v="47"/>
    <d v="2025-02-19T00:00:00"/>
    <s v="F"/>
    <x v="2"/>
    <x v="1"/>
    <x v="0"/>
    <x v="3"/>
    <x v="1"/>
    <x v="7"/>
    <x v="2"/>
  </r>
  <r>
    <x v="1212"/>
    <x v="12"/>
    <x v="1"/>
    <n v="64.099999999999994"/>
    <x v="618"/>
    <x v="47"/>
    <d v="2025-02-21T00:00:00"/>
    <s v="F"/>
    <x v="1"/>
    <x v="4"/>
    <x v="0"/>
    <x v="3"/>
    <x v="5"/>
    <x v="7"/>
    <x v="2"/>
  </r>
  <r>
    <x v="1213"/>
    <x v="8"/>
    <x v="0"/>
    <n v="15.9"/>
    <x v="1021"/>
    <x v="47"/>
    <d v="2025-02-20T00:00:00"/>
    <s v=""/>
    <x v="1"/>
    <x v="0"/>
    <x v="0"/>
    <x v="3"/>
    <x v="2"/>
    <x v="7"/>
    <x v="0"/>
  </r>
  <r>
    <x v="1214"/>
    <x v="6"/>
    <x v="1"/>
    <n v="78.7"/>
    <x v="1022"/>
    <x v="47"/>
    <d v="2025-02-17T00:00:00"/>
    <s v="F"/>
    <x v="2"/>
    <x v="1"/>
    <x v="0"/>
    <x v="3"/>
    <x v="7"/>
    <x v="7"/>
    <x v="2"/>
  </r>
  <r>
    <x v="1215"/>
    <x v="5"/>
    <x v="4"/>
    <n v="29.6"/>
    <x v="1023"/>
    <x v="47"/>
    <d v="2025-02-21T00:00:00"/>
    <s v="M"/>
    <x v="2"/>
    <x v="4"/>
    <x v="0"/>
    <x v="3"/>
    <x v="5"/>
    <x v="7"/>
    <x v="1"/>
  </r>
  <r>
    <x v="1216"/>
    <x v="8"/>
    <x v="12"/>
    <n v="21.5"/>
    <x v="1024"/>
    <x v="47"/>
    <d v="2025-02-20T00:00:00"/>
    <s v="M"/>
    <x v="1"/>
    <x v="0"/>
    <x v="0"/>
    <x v="3"/>
    <x v="2"/>
    <x v="7"/>
    <x v="1"/>
  </r>
  <r>
    <x v="1217"/>
    <x v="9"/>
    <x v="2"/>
    <n v="74.900000000000006"/>
    <x v="890"/>
    <x v="47"/>
    <d v="2025-02-26T00:00:00"/>
    <s v="M"/>
    <x v="3"/>
    <x v="1"/>
    <x v="0"/>
    <x v="3"/>
    <x v="8"/>
    <x v="7"/>
    <x v="1"/>
  </r>
  <r>
    <x v="1218"/>
    <x v="10"/>
    <x v="13"/>
    <n v="45"/>
    <x v="843"/>
    <x v="47"/>
    <d v="2025-02-22T00:00:00"/>
    <s v="F"/>
    <x v="2"/>
    <x v="0"/>
    <x v="0"/>
    <x v="3"/>
    <x v="0"/>
    <x v="7"/>
    <x v="2"/>
  </r>
  <r>
    <x v="1219"/>
    <x v="7"/>
    <x v="33"/>
    <n v="37.9"/>
    <x v="1025"/>
    <x v="47"/>
    <d v="2025-02-18T00:00:00"/>
    <s v="M"/>
    <x v="0"/>
    <x v="0"/>
    <x v="0"/>
    <x v="3"/>
    <x v="3"/>
    <x v="7"/>
    <x v="1"/>
  </r>
  <r>
    <x v="1220"/>
    <x v="6"/>
    <x v="2"/>
    <n v="56.6"/>
    <x v="1026"/>
    <x v="47"/>
    <d v="2025-02-18T00:00:00"/>
    <s v="M"/>
    <x v="3"/>
    <x v="0"/>
    <x v="0"/>
    <x v="3"/>
    <x v="3"/>
    <x v="7"/>
    <x v="1"/>
  </r>
  <r>
    <x v="1221"/>
    <x v="3"/>
    <x v="15"/>
    <n v="84.5"/>
    <x v="1027"/>
    <x v="47"/>
    <d v="2025-02-20T00:00:00"/>
    <s v="F"/>
    <x v="1"/>
    <x v="4"/>
    <x v="0"/>
    <x v="3"/>
    <x v="2"/>
    <x v="7"/>
    <x v="2"/>
  </r>
  <r>
    <x v="1222"/>
    <x v="2"/>
    <x v="9"/>
    <n v="105.4"/>
    <x v="1028"/>
    <x v="47"/>
    <d v="2025-02-19T00:00:00"/>
    <s v="F"/>
    <x v="1"/>
    <x v="1"/>
    <x v="0"/>
    <x v="3"/>
    <x v="1"/>
    <x v="7"/>
    <x v="2"/>
  </r>
  <r>
    <x v="1223"/>
    <x v="18"/>
    <x v="3"/>
    <n v="39.4"/>
    <x v="1029"/>
    <x v="48"/>
    <d v="2025-02-18T00:00:00"/>
    <s v="M"/>
    <x v="1"/>
    <x v="0"/>
    <x v="0"/>
    <x v="37"/>
    <x v="7"/>
    <x v="7"/>
    <x v="1"/>
  </r>
  <r>
    <x v="1224"/>
    <x v="19"/>
    <x v="2"/>
    <n v="38"/>
    <x v="717"/>
    <x v="48"/>
    <d v="2025-02-21T00:00:00"/>
    <s v="M"/>
    <x v="4"/>
    <x v="1"/>
    <x v="0"/>
    <x v="6"/>
    <x v="2"/>
    <x v="7"/>
    <x v="1"/>
  </r>
  <r>
    <x v="1225"/>
    <x v="17"/>
    <x v="12"/>
    <n v="42.5"/>
    <x v="393"/>
    <x v="48"/>
    <d v="2025-02-20T00:00:00"/>
    <s v=""/>
    <x v="0"/>
    <x v="0"/>
    <x v="0"/>
    <x v="6"/>
    <x v="1"/>
    <x v="7"/>
    <x v="0"/>
  </r>
  <r>
    <x v="1226"/>
    <x v="15"/>
    <x v="0"/>
    <n v="62.3"/>
    <x v="1030"/>
    <x v="48"/>
    <d v="2025-02-27T00:00:00"/>
    <s v="M"/>
    <x v="0"/>
    <x v="2"/>
    <x v="0"/>
    <x v="6"/>
    <x v="8"/>
    <x v="7"/>
    <x v="1"/>
  </r>
  <r>
    <x v="1227"/>
    <x v="6"/>
    <x v="9"/>
    <n v="49.1"/>
    <x v="1031"/>
    <x v="48"/>
    <d v="2025-02-20T00:00:00"/>
    <s v="F"/>
    <x v="1"/>
    <x v="2"/>
    <x v="0"/>
    <x v="7"/>
    <x v="1"/>
    <x v="7"/>
    <x v="2"/>
  </r>
  <r>
    <x v="1228"/>
    <x v="3"/>
    <x v="1"/>
    <n v="30.5"/>
    <x v="170"/>
    <x v="48"/>
    <d v="2025-02-21T00:00:00"/>
    <s v="M"/>
    <x v="0"/>
    <x v="2"/>
    <x v="0"/>
    <x v="8"/>
    <x v="2"/>
    <x v="7"/>
    <x v="1"/>
  </r>
  <r>
    <x v="1229"/>
    <x v="2"/>
    <x v="1"/>
    <n v="154.80000000000001"/>
    <x v="141"/>
    <x v="48"/>
    <d v="2025-02-21T00:00:00"/>
    <s v="F"/>
    <x v="1"/>
    <x v="4"/>
    <x v="0"/>
    <x v="8"/>
    <x v="2"/>
    <x v="7"/>
    <x v="2"/>
  </r>
  <r>
    <x v="1230"/>
    <x v="6"/>
    <x v="0"/>
    <n v="45"/>
    <x v="583"/>
    <x v="48"/>
    <d v="2025-02-22T00:00:00"/>
    <s v="M"/>
    <x v="3"/>
    <x v="1"/>
    <x v="0"/>
    <x v="8"/>
    <x v="5"/>
    <x v="7"/>
    <x v="1"/>
  </r>
  <r>
    <x v="1231"/>
    <x v="0"/>
    <x v="3"/>
    <n v="15.3"/>
    <x v="1002"/>
    <x v="48"/>
    <d v="2025-02-19T00:00:00"/>
    <s v="M"/>
    <x v="0"/>
    <x v="2"/>
    <x v="0"/>
    <x v="8"/>
    <x v="3"/>
    <x v="7"/>
    <x v="1"/>
  </r>
  <r>
    <x v="1232"/>
    <x v="2"/>
    <x v="5"/>
    <n v="88.6"/>
    <x v="1032"/>
    <x v="48"/>
    <d v="2025-02-21T00:00:00"/>
    <s v="F"/>
    <x v="0"/>
    <x v="4"/>
    <x v="0"/>
    <x v="17"/>
    <x v="2"/>
    <x v="7"/>
    <x v="2"/>
  </r>
  <r>
    <x v="1233"/>
    <x v="9"/>
    <x v="1"/>
    <n v="49.7"/>
    <x v="1033"/>
    <x v="48"/>
    <d v="2025-02-20T00:00:00"/>
    <s v="O"/>
    <x v="4"/>
    <x v="0"/>
    <x v="0"/>
    <x v="10"/>
    <x v="1"/>
    <x v="7"/>
    <x v="3"/>
  </r>
  <r>
    <x v="1234"/>
    <x v="10"/>
    <x v="0"/>
    <n v="29"/>
    <x v="1034"/>
    <x v="48"/>
    <d v="2025-02-19T00:00:00"/>
    <s v="M"/>
    <x v="0"/>
    <x v="0"/>
    <x v="0"/>
    <x v="11"/>
    <x v="3"/>
    <x v="7"/>
    <x v="1"/>
  </r>
  <r>
    <x v="1235"/>
    <x v="1"/>
    <x v="0"/>
    <n v="60.7"/>
    <x v="1035"/>
    <x v="48"/>
    <d v="2025-02-19T00:00:00"/>
    <s v="O"/>
    <x v="0"/>
    <x v="1"/>
    <x v="0"/>
    <x v="11"/>
    <x v="3"/>
    <x v="7"/>
    <x v="3"/>
  </r>
  <r>
    <x v="1236"/>
    <x v="17"/>
    <x v="12"/>
    <n v="87.4"/>
    <x v="1036"/>
    <x v="48"/>
    <d v="2025-02-20T00:00:00"/>
    <s v=""/>
    <x v="0"/>
    <x v="0"/>
    <x v="0"/>
    <x v="11"/>
    <x v="1"/>
    <x v="7"/>
    <x v="0"/>
  </r>
  <r>
    <x v="1237"/>
    <x v="4"/>
    <x v="3"/>
    <n v="44.5"/>
    <x v="1037"/>
    <x v="48"/>
    <d v="2025-02-22T00:00:00"/>
    <s v="F"/>
    <x v="2"/>
    <x v="2"/>
    <x v="0"/>
    <x v="19"/>
    <x v="5"/>
    <x v="7"/>
    <x v="2"/>
  </r>
  <r>
    <x v="1238"/>
    <x v="2"/>
    <x v="0"/>
    <n v="141"/>
    <x v="1038"/>
    <x v="48"/>
    <d v="2025-02-19T00:00:00"/>
    <s v="M"/>
    <x v="4"/>
    <x v="2"/>
    <x v="0"/>
    <x v="19"/>
    <x v="3"/>
    <x v="7"/>
    <x v="1"/>
  </r>
  <r>
    <x v="1239"/>
    <x v="0"/>
    <x v="2"/>
    <n v="16.7"/>
    <x v="1039"/>
    <x v="48"/>
    <d v="2025-02-26T00:00:00"/>
    <s v="F"/>
    <x v="0"/>
    <x v="0"/>
    <x v="0"/>
    <x v="20"/>
    <x v="9"/>
    <x v="7"/>
    <x v="2"/>
  </r>
  <r>
    <x v="1240"/>
    <x v="1"/>
    <x v="1"/>
    <n v="77.5"/>
    <x v="1040"/>
    <x v="48"/>
    <d v="2025-02-19T00:00:00"/>
    <s v=""/>
    <x v="2"/>
    <x v="2"/>
    <x v="0"/>
    <x v="13"/>
    <x v="3"/>
    <x v="7"/>
    <x v="0"/>
  </r>
  <r>
    <x v="1241"/>
    <x v="2"/>
    <x v="1"/>
    <n v="163"/>
    <x v="1041"/>
    <x v="48"/>
    <d v="2025-02-24T00:00:00"/>
    <s v="F"/>
    <x v="4"/>
    <x v="0"/>
    <x v="0"/>
    <x v="21"/>
    <x v="4"/>
    <x v="7"/>
    <x v="2"/>
  </r>
  <r>
    <x v="1242"/>
    <x v="4"/>
    <x v="11"/>
    <n v="21.4"/>
    <x v="1042"/>
    <x v="48"/>
    <d v="2025-02-21T00:00:00"/>
    <s v="F"/>
    <x v="0"/>
    <x v="0"/>
    <x v="0"/>
    <x v="51"/>
    <x v="2"/>
    <x v="7"/>
    <x v="2"/>
  </r>
  <r>
    <x v="1243"/>
    <x v="10"/>
    <x v="5"/>
    <n v="31"/>
    <x v="992"/>
    <x v="48"/>
    <d v="2025-02-20T00:00:00"/>
    <s v="F"/>
    <x v="3"/>
    <x v="2"/>
    <x v="0"/>
    <x v="1"/>
    <x v="1"/>
    <x v="7"/>
    <x v="2"/>
  </r>
  <r>
    <x v="1244"/>
    <x v="7"/>
    <x v="1"/>
    <n v="34.299999999999997"/>
    <x v="1043"/>
    <x v="48"/>
    <d v="2025-02-20T00:00:00"/>
    <s v="F"/>
    <x v="0"/>
    <x v="3"/>
    <x v="0"/>
    <x v="1"/>
    <x v="1"/>
    <x v="7"/>
    <x v="2"/>
  </r>
  <r>
    <x v="1245"/>
    <x v="17"/>
    <x v="9"/>
    <n v="48.2"/>
    <x v="1044"/>
    <x v="48"/>
    <d v="2025-02-19T00:00:00"/>
    <s v="M"/>
    <x v="1"/>
    <x v="1"/>
    <x v="0"/>
    <x v="2"/>
    <x v="3"/>
    <x v="7"/>
    <x v="1"/>
  </r>
  <r>
    <x v="1246"/>
    <x v="10"/>
    <x v="0"/>
    <n v="51.4"/>
    <x v="1045"/>
    <x v="48"/>
    <d v="2025-02-19T00:00:00"/>
    <s v="M"/>
    <x v="0"/>
    <x v="0"/>
    <x v="0"/>
    <x v="3"/>
    <x v="3"/>
    <x v="7"/>
    <x v="1"/>
  </r>
  <r>
    <x v="1247"/>
    <x v="2"/>
    <x v="9"/>
    <n v="117.2"/>
    <x v="1046"/>
    <x v="48"/>
    <d v="2025-02-21T00:00:00"/>
    <s v="F"/>
    <x v="4"/>
    <x v="4"/>
    <x v="0"/>
    <x v="3"/>
    <x v="2"/>
    <x v="7"/>
    <x v="2"/>
  </r>
  <r>
    <x v="1248"/>
    <x v="8"/>
    <x v="0"/>
    <n v="38.1"/>
    <x v="220"/>
    <x v="48"/>
    <d v="2025-02-18T00:00:00"/>
    <s v="M"/>
    <x v="4"/>
    <x v="1"/>
    <x v="0"/>
    <x v="3"/>
    <x v="7"/>
    <x v="7"/>
    <x v="1"/>
  </r>
  <r>
    <x v="1249"/>
    <x v="0"/>
    <x v="1"/>
    <n v="44.1"/>
    <x v="1047"/>
    <x v="48"/>
    <d v="2025-02-20T00:00:00"/>
    <s v="F"/>
    <x v="2"/>
    <x v="0"/>
    <x v="0"/>
    <x v="3"/>
    <x v="1"/>
    <x v="7"/>
    <x v="2"/>
  </r>
  <r>
    <x v="1250"/>
    <x v="15"/>
    <x v="12"/>
    <n v="80.5"/>
    <x v="310"/>
    <x v="48"/>
    <d v="2025-02-23T00:00:00"/>
    <s v="M"/>
    <x v="0"/>
    <x v="0"/>
    <x v="0"/>
    <x v="3"/>
    <x v="0"/>
    <x v="7"/>
    <x v="1"/>
  </r>
  <r>
    <x v="1251"/>
    <x v="18"/>
    <x v="12"/>
    <n v="33.6"/>
    <x v="1048"/>
    <x v="48"/>
    <d v="2025-02-23T00:00:00"/>
    <s v=""/>
    <x v="0"/>
    <x v="2"/>
    <x v="0"/>
    <x v="3"/>
    <x v="0"/>
    <x v="7"/>
    <x v="0"/>
  </r>
  <r>
    <x v="1252"/>
    <x v="9"/>
    <x v="11"/>
    <n v="41.8"/>
    <x v="82"/>
    <x v="48"/>
    <d v="2025-02-19T00:00:00"/>
    <s v="F"/>
    <x v="0"/>
    <x v="1"/>
    <x v="0"/>
    <x v="3"/>
    <x v="3"/>
    <x v="7"/>
    <x v="2"/>
  </r>
  <r>
    <x v="1253"/>
    <x v="1"/>
    <x v="1"/>
    <n v="106.2"/>
    <x v="230"/>
    <x v="48"/>
    <d v="2025-02-18T00:00:00"/>
    <s v="F"/>
    <x v="4"/>
    <x v="2"/>
    <x v="0"/>
    <x v="3"/>
    <x v="7"/>
    <x v="7"/>
    <x v="2"/>
  </r>
  <r>
    <x v="1254"/>
    <x v="1"/>
    <x v="1"/>
    <n v="52.6"/>
    <x v="1049"/>
    <x v="48"/>
    <d v="2025-02-19T00:00:00"/>
    <s v="F"/>
    <x v="0"/>
    <x v="2"/>
    <x v="0"/>
    <x v="5"/>
    <x v="3"/>
    <x v="7"/>
    <x v="2"/>
  </r>
  <r>
    <x v="1255"/>
    <x v="11"/>
    <x v="3"/>
    <n v="68.5"/>
    <x v="1050"/>
    <x v="48"/>
    <d v="2025-02-19T00:00:00"/>
    <s v="F"/>
    <x v="1"/>
    <x v="0"/>
    <x v="0"/>
    <x v="5"/>
    <x v="3"/>
    <x v="7"/>
    <x v="2"/>
  </r>
  <r>
    <x v="1256"/>
    <x v="1"/>
    <x v="1"/>
    <n v="55.6"/>
    <x v="622"/>
    <x v="48"/>
    <d v="2025-02-20T00:00:00"/>
    <s v="M"/>
    <x v="1"/>
    <x v="2"/>
    <x v="0"/>
    <x v="6"/>
    <x v="1"/>
    <x v="7"/>
    <x v="1"/>
  </r>
  <r>
    <x v="1257"/>
    <x v="2"/>
    <x v="2"/>
    <n v="134.9"/>
    <x v="1051"/>
    <x v="48"/>
    <d v="2025-02-19T00:00:00"/>
    <s v="M"/>
    <x v="1"/>
    <x v="1"/>
    <x v="0"/>
    <x v="6"/>
    <x v="3"/>
    <x v="7"/>
    <x v="1"/>
  </r>
  <r>
    <x v="1258"/>
    <x v="10"/>
    <x v="9"/>
    <n v="42.6"/>
    <x v="226"/>
    <x v="48"/>
    <d v="2025-02-19T00:00:00"/>
    <s v="M"/>
    <x v="0"/>
    <x v="0"/>
    <x v="0"/>
    <x v="6"/>
    <x v="3"/>
    <x v="7"/>
    <x v="1"/>
  </r>
  <r>
    <x v="1259"/>
    <x v="7"/>
    <x v="9"/>
    <n v="60.6"/>
    <x v="1052"/>
    <x v="48"/>
    <d v="2025-02-20T00:00:00"/>
    <s v="M"/>
    <x v="4"/>
    <x v="0"/>
    <x v="0"/>
    <x v="6"/>
    <x v="1"/>
    <x v="7"/>
    <x v="1"/>
  </r>
  <r>
    <x v="1260"/>
    <x v="8"/>
    <x v="1"/>
    <n v="43.5"/>
    <x v="1053"/>
    <x v="48"/>
    <d v="2025-02-19T00:00:00"/>
    <s v="M"/>
    <x v="4"/>
    <x v="0"/>
    <x v="0"/>
    <x v="7"/>
    <x v="3"/>
    <x v="7"/>
    <x v="1"/>
  </r>
  <r>
    <x v="1261"/>
    <x v="2"/>
    <x v="1"/>
    <n v="187.1"/>
    <x v="1054"/>
    <x v="48"/>
    <d v="2025-02-19T00:00:00"/>
    <s v="M"/>
    <x v="1"/>
    <x v="2"/>
    <x v="0"/>
    <x v="8"/>
    <x v="3"/>
    <x v="7"/>
    <x v="1"/>
  </r>
  <r>
    <x v="1262"/>
    <x v="9"/>
    <x v="2"/>
    <n v="32"/>
    <x v="854"/>
    <x v="48"/>
    <d v="2025-02-20T00:00:00"/>
    <s v="M"/>
    <x v="0"/>
    <x v="0"/>
    <x v="0"/>
    <x v="8"/>
    <x v="1"/>
    <x v="7"/>
    <x v="1"/>
  </r>
  <r>
    <x v="1263"/>
    <x v="9"/>
    <x v="1"/>
    <n v="110.8"/>
    <x v="1055"/>
    <x v="48"/>
    <d v="2025-02-18T00:00:00"/>
    <s v="M"/>
    <x v="0"/>
    <x v="2"/>
    <x v="0"/>
    <x v="8"/>
    <x v="7"/>
    <x v="7"/>
    <x v="1"/>
  </r>
  <r>
    <x v="1264"/>
    <x v="10"/>
    <x v="15"/>
    <n v="36.1"/>
    <x v="1056"/>
    <x v="48"/>
    <d v="2025-02-21T00:00:00"/>
    <s v="F"/>
    <x v="0"/>
    <x v="1"/>
    <x v="0"/>
    <x v="8"/>
    <x v="2"/>
    <x v="7"/>
    <x v="2"/>
  </r>
  <r>
    <x v="1265"/>
    <x v="0"/>
    <x v="0"/>
    <n v="24.1"/>
    <x v="1057"/>
    <x v="48"/>
    <d v="2025-02-20T00:00:00"/>
    <s v="F"/>
    <x v="4"/>
    <x v="2"/>
    <x v="0"/>
    <x v="8"/>
    <x v="1"/>
    <x v="7"/>
    <x v="2"/>
  </r>
  <r>
    <x v="1266"/>
    <x v="19"/>
    <x v="2"/>
    <n v="30.5"/>
    <x v="1058"/>
    <x v="48"/>
    <d v="2025-02-20T00:00:00"/>
    <s v="M"/>
    <x v="1"/>
    <x v="0"/>
    <x v="0"/>
    <x v="8"/>
    <x v="1"/>
    <x v="7"/>
    <x v="1"/>
  </r>
  <r>
    <x v="1267"/>
    <x v="18"/>
    <x v="13"/>
    <n v="68.3"/>
    <x v="1059"/>
    <x v="48"/>
    <d v="2025-02-21T00:00:00"/>
    <s v="M"/>
    <x v="0"/>
    <x v="0"/>
    <x v="0"/>
    <x v="8"/>
    <x v="2"/>
    <x v="7"/>
    <x v="1"/>
  </r>
  <r>
    <x v="1268"/>
    <x v="7"/>
    <x v="2"/>
    <n v="43.3"/>
    <x v="1060"/>
    <x v="48"/>
    <d v="2025-02-22T00:00:00"/>
    <s v="F"/>
    <x v="0"/>
    <x v="0"/>
    <x v="0"/>
    <x v="17"/>
    <x v="5"/>
    <x v="7"/>
    <x v="2"/>
  </r>
  <r>
    <x v="1269"/>
    <x v="3"/>
    <x v="0"/>
    <n v="101.7"/>
    <x v="530"/>
    <x v="48"/>
    <d v="2025-02-21T00:00:00"/>
    <s v="F"/>
    <x v="0"/>
    <x v="1"/>
    <x v="0"/>
    <x v="17"/>
    <x v="2"/>
    <x v="7"/>
    <x v="2"/>
  </r>
  <r>
    <x v="1270"/>
    <x v="11"/>
    <x v="1"/>
    <n v="54.2"/>
    <x v="1061"/>
    <x v="48"/>
    <d v="2025-02-19T00:00:00"/>
    <s v="F"/>
    <x v="0"/>
    <x v="1"/>
    <x v="0"/>
    <x v="17"/>
    <x v="3"/>
    <x v="7"/>
    <x v="2"/>
  </r>
  <r>
    <x v="1271"/>
    <x v="16"/>
    <x v="1"/>
    <n v="51"/>
    <x v="1062"/>
    <x v="48"/>
    <d v="2025-02-18T00:00:00"/>
    <s v="M"/>
    <x v="1"/>
    <x v="0"/>
    <x v="0"/>
    <x v="26"/>
    <x v="7"/>
    <x v="7"/>
    <x v="1"/>
  </r>
  <r>
    <x v="1272"/>
    <x v="4"/>
    <x v="1"/>
    <n v="23.1"/>
    <x v="1063"/>
    <x v="48"/>
    <d v="2025-02-21T00:00:00"/>
    <s v="M"/>
    <x v="1"/>
    <x v="0"/>
    <x v="0"/>
    <x v="10"/>
    <x v="2"/>
    <x v="7"/>
    <x v="1"/>
  </r>
  <r>
    <x v="1273"/>
    <x v="12"/>
    <x v="13"/>
    <n v="60.1"/>
    <x v="116"/>
    <x v="48"/>
    <d v="2025-02-18T00:00:00"/>
    <s v="F"/>
    <x v="3"/>
    <x v="0"/>
    <x v="0"/>
    <x v="11"/>
    <x v="7"/>
    <x v="7"/>
    <x v="2"/>
  </r>
  <r>
    <x v="1274"/>
    <x v="2"/>
    <x v="3"/>
    <n v="87.5"/>
    <x v="1064"/>
    <x v="48"/>
    <d v="2025-02-20T00:00:00"/>
    <s v="F"/>
    <x v="0"/>
    <x v="1"/>
    <x v="0"/>
    <x v="11"/>
    <x v="1"/>
    <x v="7"/>
    <x v="2"/>
  </r>
  <r>
    <x v="1275"/>
    <x v="1"/>
    <x v="2"/>
    <n v="51"/>
    <x v="1065"/>
    <x v="48"/>
    <d v="2025-02-19T00:00:00"/>
    <s v="F"/>
    <x v="1"/>
    <x v="0"/>
    <x v="0"/>
    <x v="11"/>
    <x v="3"/>
    <x v="7"/>
    <x v="2"/>
  </r>
  <r>
    <x v="1276"/>
    <x v="8"/>
    <x v="12"/>
    <n v="19.2"/>
    <x v="714"/>
    <x v="48"/>
    <d v="2025-02-20T00:00:00"/>
    <s v="F"/>
    <x v="0"/>
    <x v="0"/>
    <x v="0"/>
    <x v="11"/>
    <x v="1"/>
    <x v="7"/>
    <x v="2"/>
  </r>
  <r>
    <x v="1277"/>
    <x v="5"/>
    <x v="8"/>
    <n v="26.5"/>
    <x v="1066"/>
    <x v="48"/>
    <d v="2025-02-19T00:00:00"/>
    <s v=""/>
    <x v="3"/>
    <x v="2"/>
    <x v="0"/>
    <x v="11"/>
    <x v="3"/>
    <x v="7"/>
    <x v="0"/>
  </r>
  <r>
    <x v="1278"/>
    <x v="2"/>
    <x v="1"/>
    <n v="220.3"/>
    <x v="1067"/>
    <x v="48"/>
    <d v="2025-02-19T00:00:00"/>
    <s v="F"/>
    <x v="1"/>
    <x v="4"/>
    <x v="0"/>
    <x v="53"/>
    <x v="3"/>
    <x v="7"/>
    <x v="2"/>
  </r>
  <r>
    <x v="1279"/>
    <x v="8"/>
    <x v="2"/>
    <n v="45.7"/>
    <x v="1068"/>
    <x v="48"/>
    <d v="2025-02-19T00:00:00"/>
    <s v="F"/>
    <x v="4"/>
    <x v="0"/>
    <x v="0"/>
    <x v="30"/>
    <x v="3"/>
    <x v="7"/>
    <x v="2"/>
  </r>
  <r>
    <x v="1280"/>
    <x v="5"/>
    <x v="9"/>
    <n v="47.1"/>
    <x v="1069"/>
    <x v="48"/>
    <d v="2025-02-22T00:00:00"/>
    <s v="F"/>
    <x v="3"/>
    <x v="0"/>
    <x v="0"/>
    <x v="13"/>
    <x v="5"/>
    <x v="7"/>
    <x v="2"/>
  </r>
  <r>
    <x v="1281"/>
    <x v="1"/>
    <x v="9"/>
    <n v="81.7"/>
    <x v="856"/>
    <x v="48"/>
    <d v="2025-02-19T00:00:00"/>
    <s v="F"/>
    <x v="0"/>
    <x v="2"/>
    <x v="0"/>
    <x v="21"/>
    <x v="3"/>
    <x v="7"/>
    <x v="2"/>
  </r>
  <r>
    <x v="1282"/>
    <x v="6"/>
    <x v="7"/>
    <n v="97.8"/>
    <x v="1070"/>
    <x v="48"/>
    <d v="2025-02-18T00:00:00"/>
    <s v="M"/>
    <x v="1"/>
    <x v="1"/>
    <x v="0"/>
    <x v="21"/>
    <x v="7"/>
    <x v="7"/>
    <x v="1"/>
  </r>
  <r>
    <x v="1283"/>
    <x v="6"/>
    <x v="2"/>
    <n v="42.4"/>
    <x v="1071"/>
    <x v="48"/>
    <d v="2025-02-19T00:00:00"/>
    <s v="F"/>
    <x v="0"/>
    <x v="2"/>
    <x v="0"/>
    <x v="54"/>
    <x v="3"/>
    <x v="7"/>
    <x v="2"/>
  </r>
  <r>
    <x v="1284"/>
    <x v="2"/>
    <x v="7"/>
    <n v="74.5"/>
    <x v="1072"/>
    <x v="48"/>
    <d v="2025-02-19T00:00:00"/>
    <s v="M"/>
    <x v="2"/>
    <x v="1"/>
    <x v="0"/>
    <x v="1"/>
    <x v="3"/>
    <x v="7"/>
    <x v="1"/>
  </r>
  <r>
    <x v="1285"/>
    <x v="17"/>
    <x v="13"/>
    <n v="47.4"/>
    <x v="1073"/>
    <x v="48"/>
    <d v="2025-02-19T00:00:00"/>
    <s v="M"/>
    <x v="1"/>
    <x v="0"/>
    <x v="0"/>
    <x v="1"/>
    <x v="3"/>
    <x v="7"/>
    <x v="1"/>
  </r>
  <r>
    <x v="1286"/>
    <x v="14"/>
    <x v="2"/>
    <n v="17.3"/>
    <x v="1074"/>
    <x v="49"/>
    <d v="2025-02-22T00:00:00"/>
    <s v="M"/>
    <x v="2"/>
    <x v="2"/>
    <x v="0"/>
    <x v="1"/>
    <x v="2"/>
    <x v="7"/>
    <x v="1"/>
  </r>
  <r>
    <x v="1287"/>
    <x v="12"/>
    <x v="12"/>
    <n v="77.900000000000006"/>
    <x v="1075"/>
    <x v="49"/>
    <d v="2025-02-20T00:00:00"/>
    <s v="M"/>
    <x v="1"/>
    <x v="0"/>
    <x v="0"/>
    <x v="2"/>
    <x v="3"/>
    <x v="7"/>
    <x v="1"/>
  </r>
  <r>
    <x v="1288"/>
    <x v="8"/>
    <x v="0"/>
    <n v="29.1"/>
    <x v="1076"/>
    <x v="49"/>
    <d v="2025-02-22T00:00:00"/>
    <s v="M"/>
    <x v="0"/>
    <x v="2"/>
    <x v="0"/>
    <x v="50"/>
    <x v="2"/>
    <x v="7"/>
    <x v="1"/>
  </r>
  <r>
    <x v="1289"/>
    <x v="8"/>
    <x v="0"/>
    <n v="49"/>
    <x v="268"/>
    <x v="49"/>
    <d v="2025-02-20T00:00:00"/>
    <s v="M"/>
    <x v="1"/>
    <x v="0"/>
    <x v="0"/>
    <x v="3"/>
    <x v="3"/>
    <x v="7"/>
    <x v="1"/>
  </r>
  <r>
    <x v="1290"/>
    <x v="8"/>
    <x v="13"/>
    <n v="21.1"/>
    <x v="1077"/>
    <x v="49"/>
    <d v="2025-02-26T00:00:00"/>
    <s v="M"/>
    <x v="0"/>
    <x v="2"/>
    <x v="0"/>
    <x v="3"/>
    <x v="6"/>
    <x v="7"/>
    <x v="1"/>
  </r>
  <r>
    <x v="1291"/>
    <x v="4"/>
    <x v="10"/>
    <n v="36.9"/>
    <x v="1078"/>
    <x v="49"/>
    <d v="2025-02-19T00:00:00"/>
    <s v="F"/>
    <x v="0"/>
    <x v="0"/>
    <x v="0"/>
    <x v="3"/>
    <x v="7"/>
    <x v="7"/>
    <x v="2"/>
  </r>
  <r>
    <x v="1292"/>
    <x v="1"/>
    <x v="7"/>
    <n v="92.6"/>
    <x v="1079"/>
    <x v="49"/>
    <d v="2025-02-24T00:00:00"/>
    <s v="M"/>
    <x v="4"/>
    <x v="2"/>
    <x v="0"/>
    <x v="3"/>
    <x v="0"/>
    <x v="7"/>
    <x v="1"/>
  </r>
  <r>
    <x v="1293"/>
    <x v="10"/>
    <x v="1"/>
    <n v="38"/>
    <x v="998"/>
    <x v="49"/>
    <d v="2025-02-20T00:00:00"/>
    <s v="M"/>
    <x v="1"/>
    <x v="1"/>
    <x v="0"/>
    <x v="3"/>
    <x v="3"/>
    <x v="7"/>
    <x v="1"/>
  </r>
  <r>
    <x v="1294"/>
    <x v="5"/>
    <x v="2"/>
    <n v="54.8"/>
    <x v="1080"/>
    <x v="49"/>
    <d v="2025-02-23T00:00:00"/>
    <s v=""/>
    <x v="0"/>
    <x v="1"/>
    <x v="0"/>
    <x v="3"/>
    <x v="5"/>
    <x v="7"/>
    <x v="0"/>
  </r>
  <r>
    <x v="1295"/>
    <x v="10"/>
    <x v="4"/>
    <n v="56.8"/>
    <x v="1081"/>
    <x v="49"/>
    <d v="2025-02-21T00:00:00"/>
    <s v="M"/>
    <x v="1"/>
    <x v="0"/>
    <x v="0"/>
    <x v="3"/>
    <x v="1"/>
    <x v="7"/>
    <x v="1"/>
  </r>
  <r>
    <x v="1296"/>
    <x v="11"/>
    <x v="40"/>
    <n v="47.2"/>
    <x v="1082"/>
    <x v="49"/>
    <d v="2025-02-22T00:00:00"/>
    <s v="F"/>
    <x v="1"/>
    <x v="0"/>
    <x v="0"/>
    <x v="3"/>
    <x v="2"/>
    <x v="7"/>
    <x v="2"/>
  </r>
  <r>
    <x v="1297"/>
    <x v="7"/>
    <x v="13"/>
    <n v="45.1"/>
    <x v="1083"/>
    <x v="49"/>
    <d v="2025-02-20T00:00:00"/>
    <s v="F"/>
    <x v="2"/>
    <x v="0"/>
    <x v="0"/>
    <x v="43"/>
    <x v="3"/>
    <x v="7"/>
    <x v="2"/>
  </r>
  <r>
    <x v="1298"/>
    <x v="4"/>
    <x v="4"/>
    <n v="25.2"/>
    <x v="982"/>
    <x v="49"/>
    <d v="2025-02-24T00:00:00"/>
    <s v="F"/>
    <x v="2"/>
    <x v="0"/>
    <x v="0"/>
    <x v="16"/>
    <x v="0"/>
    <x v="7"/>
    <x v="2"/>
  </r>
  <r>
    <x v="1299"/>
    <x v="8"/>
    <x v="0"/>
    <n v="22"/>
    <x v="1084"/>
    <x v="49"/>
    <d v="2025-02-20T00:00:00"/>
    <s v="F"/>
    <x v="0"/>
    <x v="0"/>
    <x v="0"/>
    <x v="5"/>
    <x v="3"/>
    <x v="7"/>
    <x v="2"/>
  </r>
  <r>
    <x v="1300"/>
    <x v="6"/>
    <x v="1"/>
    <n v="42.2"/>
    <x v="533"/>
    <x v="49"/>
    <d v="2025-02-20T00:00:00"/>
    <s v="F"/>
    <x v="1"/>
    <x v="1"/>
    <x v="0"/>
    <x v="23"/>
    <x v="3"/>
    <x v="7"/>
    <x v="2"/>
  </r>
  <r>
    <x v="1301"/>
    <x v="13"/>
    <x v="2"/>
    <n v="20.5"/>
    <x v="1085"/>
    <x v="49"/>
    <d v="2025-02-20T00:00:00"/>
    <s v="M"/>
    <x v="0"/>
    <x v="1"/>
    <x v="0"/>
    <x v="6"/>
    <x v="3"/>
    <x v="7"/>
    <x v="1"/>
  </r>
  <r>
    <x v="1302"/>
    <x v="2"/>
    <x v="0"/>
    <n v="190.4"/>
    <x v="1086"/>
    <x v="49"/>
    <d v="2025-02-24T00:00:00"/>
    <s v="M"/>
    <x v="1"/>
    <x v="4"/>
    <x v="0"/>
    <x v="6"/>
    <x v="0"/>
    <x v="7"/>
    <x v="1"/>
  </r>
  <r>
    <x v="1303"/>
    <x v="2"/>
    <x v="0"/>
    <n v="121.9"/>
    <x v="1087"/>
    <x v="49"/>
    <d v="2025-02-21T00:00:00"/>
    <s v="F"/>
    <x v="1"/>
    <x v="2"/>
    <x v="0"/>
    <x v="6"/>
    <x v="1"/>
    <x v="7"/>
    <x v="2"/>
  </r>
  <r>
    <x v="1304"/>
    <x v="2"/>
    <x v="13"/>
    <n v="149.19999999999999"/>
    <x v="1088"/>
    <x v="49"/>
    <d v="2025-02-20T00:00:00"/>
    <s v="F"/>
    <x v="2"/>
    <x v="2"/>
    <x v="0"/>
    <x v="7"/>
    <x v="3"/>
    <x v="7"/>
    <x v="2"/>
  </r>
  <r>
    <x v="1305"/>
    <x v="2"/>
    <x v="0"/>
    <n v="54.1"/>
    <x v="1089"/>
    <x v="49"/>
    <d v="2025-02-28T00:00:00"/>
    <s v="F"/>
    <x v="2"/>
    <x v="2"/>
    <x v="0"/>
    <x v="7"/>
    <x v="8"/>
    <x v="7"/>
    <x v="2"/>
  </r>
  <r>
    <x v="1306"/>
    <x v="5"/>
    <x v="1"/>
    <n v="27.4"/>
    <x v="1090"/>
    <x v="49"/>
    <d v="2025-02-21T00:00:00"/>
    <s v="M"/>
    <x v="1"/>
    <x v="0"/>
    <x v="0"/>
    <x v="8"/>
    <x v="1"/>
    <x v="7"/>
    <x v="1"/>
  </r>
  <r>
    <x v="1307"/>
    <x v="0"/>
    <x v="15"/>
    <n v="30.4"/>
    <x v="1091"/>
    <x v="49"/>
    <d v="2025-02-20T00:00:00"/>
    <s v="F"/>
    <x v="0"/>
    <x v="2"/>
    <x v="0"/>
    <x v="8"/>
    <x v="3"/>
    <x v="7"/>
    <x v="2"/>
  </r>
  <r>
    <x v="1308"/>
    <x v="12"/>
    <x v="2"/>
    <n v="46.2"/>
    <x v="209"/>
    <x v="49"/>
    <d v="2025-02-21T00:00:00"/>
    <s v="M"/>
    <x v="2"/>
    <x v="1"/>
    <x v="0"/>
    <x v="17"/>
    <x v="1"/>
    <x v="7"/>
    <x v="1"/>
  </r>
  <r>
    <x v="1309"/>
    <x v="7"/>
    <x v="8"/>
    <n v="78.599999999999994"/>
    <x v="1092"/>
    <x v="49"/>
    <d v="2025-02-23T00:00:00"/>
    <s v="M"/>
    <x v="3"/>
    <x v="0"/>
    <x v="0"/>
    <x v="17"/>
    <x v="5"/>
    <x v="7"/>
    <x v="1"/>
  </r>
  <r>
    <x v="1310"/>
    <x v="17"/>
    <x v="7"/>
    <n v="25.9"/>
    <x v="155"/>
    <x v="49"/>
    <d v="2025-02-25T00:00:00"/>
    <s v="M"/>
    <x v="4"/>
    <x v="0"/>
    <x v="0"/>
    <x v="9"/>
    <x v="4"/>
    <x v="7"/>
    <x v="1"/>
  </r>
  <r>
    <x v="1311"/>
    <x v="6"/>
    <x v="0"/>
    <n v="134.80000000000001"/>
    <x v="1093"/>
    <x v="49"/>
    <d v="2025-02-21T00:00:00"/>
    <s v="M"/>
    <x v="2"/>
    <x v="2"/>
    <x v="0"/>
    <x v="9"/>
    <x v="1"/>
    <x v="7"/>
    <x v="1"/>
  </r>
  <r>
    <x v="1312"/>
    <x v="15"/>
    <x v="9"/>
    <n v="43.1"/>
    <x v="1094"/>
    <x v="49"/>
    <d v="2025-02-21T00:00:00"/>
    <s v="F"/>
    <x v="0"/>
    <x v="0"/>
    <x v="0"/>
    <x v="11"/>
    <x v="1"/>
    <x v="7"/>
    <x v="2"/>
  </r>
  <r>
    <x v="1313"/>
    <x v="2"/>
    <x v="1"/>
    <n v="215.6"/>
    <x v="348"/>
    <x v="49"/>
    <d v="2025-02-20T00:00:00"/>
    <s v="F"/>
    <x v="2"/>
    <x v="0"/>
    <x v="0"/>
    <x v="18"/>
    <x v="3"/>
    <x v="7"/>
    <x v="2"/>
  </r>
  <r>
    <x v="1314"/>
    <x v="6"/>
    <x v="1"/>
    <n v="80.7"/>
    <x v="1095"/>
    <x v="49"/>
    <d v="2025-02-22T00:00:00"/>
    <s v="F"/>
    <x v="3"/>
    <x v="0"/>
    <x v="0"/>
    <x v="18"/>
    <x v="2"/>
    <x v="7"/>
    <x v="2"/>
  </r>
  <r>
    <x v="1315"/>
    <x v="10"/>
    <x v="3"/>
    <n v="20.6"/>
    <x v="1096"/>
    <x v="49"/>
    <d v="2025-02-24T00:00:00"/>
    <s v=""/>
    <x v="2"/>
    <x v="1"/>
    <x v="0"/>
    <x v="19"/>
    <x v="0"/>
    <x v="7"/>
    <x v="0"/>
  </r>
  <r>
    <x v="1316"/>
    <x v="12"/>
    <x v="2"/>
    <n v="37.1"/>
    <x v="1097"/>
    <x v="49"/>
    <d v="2025-02-20T00:00:00"/>
    <s v="F"/>
    <x v="0"/>
    <x v="0"/>
    <x v="0"/>
    <x v="52"/>
    <x v="3"/>
    <x v="7"/>
    <x v="2"/>
  </r>
  <r>
    <x v="1317"/>
    <x v="12"/>
    <x v="0"/>
    <n v="104.8"/>
    <x v="661"/>
    <x v="50"/>
    <d v="2025-02-22T00:00:00"/>
    <s v="F"/>
    <x v="0"/>
    <x v="0"/>
    <x v="0"/>
    <x v="13"/>
    <x v="1"/>
    <x v="7"/>
    <x v="2"/>
  </r>
  <r>
    <x v="1318"/>
    <x v="8"/>
    <x v="1"/>
    <n v="59"/>
    <x v="1098"/>
    <x v="50"/>
    <d v="2025-02-21T00:00:00"/>
    <s v="M"/>
    <x v="1"/>
    <x v="0"/>
    <x v="0"/>
    <x v="21"/>
    <x v="3"/>
    <x v="7"/>
    <x v="1"/>
  </r>
  <r>
    <x v="1319"/>
    <x v="8"/>
    <x v="1"/>
    <n v="32.299999999999997"/>
    <x v="1099"/>
    <x v="50"/>
    <d v="2025-02-21T00:00:00"/>
    <s v="M"/>
    <x v="0"/>
    <x v="2"/>
    <x v="0"/>
    <x v="21"/>
    <x v="3"/>
    <x v="7"/>
    <x v="1"/>
  </r>
  <r>
    <x v="1320"/>
    <x v="8"/>
    <x v="12"/>
    <n v="28.9"/>
    <x v="446"/>
    <x v="50"/>
    <d v="2025-02-27T00:00:00"/>
    <s v="M"/>
    <x v="0"/>
    <x v="0"/>
    <x v="0"/>
    <x v="1"/>
    <x v="6"/>
    <x v="7"/>
    <x v="1"/>
  </r>
  <r>
    <x v="1321"/>
    <x v="0"/>
    <x v="1"/>
    <n v="29.6"/>
    <x v="1100"/>
    <x v="50"/>
    <d v="2025-02-22T00:00:00"/>
    <s v="M"/>
    <x v="0"/>
    <x v="0"/>
    <x v="0"/>
    <x v="1"/>
    <x v="1"/>
    <x v="7"/>
    <x v="1"/>
  </r>
  <r>
    <x v="1322"/>
    <x v="0"/>
    <x v="9"/>
    <n v="29.4"/>
    <x v="926"/>
    <x v="50"/>
    <d v="2025-02-23T00:00:00"/>
    <s v="F"/>
    <x v="0"/>
    <x v="0"/>
    <x v="0"/>
    <x v="1"/>
    <x v="2"/>
    <x v="7"/>
    <x v="2"/>
  </r>
  <r>
    <x v="1323"/>
    <x v="1"/>
    <x v="1"/>
    <n v="40.6"/>
    <x v="1101"/>
    <x v="50"/>
    <d v="2025-02-21T00:00:00"/>
    <s v="M"/>
    <x v="0"/>
    <x v="4"/>
    <x v="0"/>
    <x v="2"/>
    <x v="3"/>
    <x v="7"/>
    <x v="1"/>
  </r>
  <r>
    <x v="1324"/>
    <x v="0"/>
    <x v="2"/>
    <n v="32.5"/>
    <x v="647"/>
    <x v="50"/>
    <d v="2025-02-21T00:00:00"/>
    <s v="M"/>
    <x v="3"/>
    <x v="2"/>
    <x v="0"/>
    <x v="22"/>
    <x v="3"/>
    <x v="7"/>
    <x v="1"/>
  </r>
  <r>
    <x v="1325"/>
    <x v="15"/>
    <x v="0"/>
    <n v="26.2"/>
    <x v="1102"/>
    <x v="50"/>
    <d v="2025-02-22T00:00:00"/>
    <s v="M"/>
    <x v="2"/>
    <x v="0"/>
    <x v="0"/>
    <x v="55"/>
    <x v="1"/>
    <x v="7"/>
    <x v="1"/>
  </r>
  <r>
    <x v="1326"/>
    <x v="10"/>
    <x v="17"/>
    <n v="44"/>
    <x v="1103"/>
    <x v="50"/>
    <d v="2025-02-26T00:00:00"/>
    <s v="M"/>
    <x v="4"/>
    <x v="0"/>
    <x v="0"/>
    <x v="3"/>
    <x v="4"/>
    <x v="7"/>
    <x v="1"/>
  </r>
  <r>
    <x v="1327"/>
    <x v="7"/>
    <x v="12"/>
    <n v="65.599999999999994"/>
    <x v="1104"/>
    <x v="50"/>
    <d v="2025-02-21T00:00:00"/>
    <s v="F"/>
    <x v="1"/>
    <x v="1"/>
    <x v="0"/>
    <x v="3"/>
    <x v="3"/>
    <x v="7"/>
    <x v="2"/>
  </r>
  <r>
    <x v="1328"/>
    <x v="5"/>
    <x v="4"/>
    <n v="32.6"/>
    <x v="1105"/>
    <x v="50"/>
    <d v="2025-02-21T00:00:00"/>
    <s v="M"/>
    <x v="4"/>
    <x v="0"/>
    <x v="0"/>
    <x v="3"/>
    <x v="3"/>
    <x v="7"/>
    <x v="1"/>
  </r>
  <r>
    <x v="1329"/>
    <x v="16"/>
    <x v="1"/>
    <n v="88.7"/>
    <x v="633"/>
    <x v="50"/>
    <d v="2025-02-21T00:00:00"/>
    <s v=""/>
    <x v="3"/>
    <x v="2"/>
    <x v="0"/>
    <x v="3"/>
    <x v="3"/>
    <x v="7"/>
    <x v="0"/>
  </r>
  <r>
    <x v="1330"/>
    <x v="4"/>
    <x v="1"/>
    <n v="21.3"/>
    <x v="440"/>
    <x v="50"/>
    <d v="2025-02-21T00:00:00"/>
    <s v="M"/>
    <x v="0"/>
    <x v="0"/>
    <x v="0"/>
    <x v="3"/>
    <x v="3"/>
    <x v="7"/>
    <x v="1"/>
  </r>
  <r>
    <x v="1331"/>
    <x v="4"/>
    <x v="13"/>
    <n v="50.6"/>
    <x v="80"/>
    <x v="50"/>
    <d v="2025-02-24T00:00:00"/>
    <s v="F"/>
    <x v="2"/>
    <x v="0"/>
    <x v="0"/>
    <x v="3"/>
    <x v="5"/>
    <x v="7"/>
    <x v="2"/>
  </r>
  <r>
    <x v="1332"/>
    <x v="9"/>
    <x v="38"/>
    <n v="86.9"/>
    <x v="1106"/>
    <x v="50"/>
    <d v="2025-02-23T00:00:00"/>
    <s v="F"/>
    <x v="0"/>
    <x v="1"/>
    <x v="0"/>
    <x v="3"/>
    <x v="2"/>
    <x v="7"/>
    <x v="2"/>
  </r>
  <r>
    <x v="1333"/>
    <x v="11"/>
    <x v="2"/>
    <n v="31.8"/>
    <x v="233"/>
    <x v="50"/>
    <d v="2025-02-22T00:00:00"/>
    <s v="M"/>
    <x v="0"/>
    <x v="2"/>
    <x v="0"/>
    <x v="3"/>
    <x v="1"/>
    <x v="7"/>
    <x v="1"/>
  </r>
  <r>
    <x v="1334"/>
    <x v="8"/>
    <x v="0"/>
    <n v="19"/>
    <x v="134"/>
    <x v="50"/>
    <d v="2025-02-21T00:00:00"/>
    <s v="F"/>
    <x v="0"/>
    <x v="2"/>
    <x v="0"/>
    <x v="3"/>
    <x v="3"/>
    <x v="7"/>
    <x v="2"/>
  </r>
  <r>
    <x v="1335"/>
    <x v="5"/>
    <x v="0"/>
    <n v="54.5"/>
    <x v="1107"/>
    <x v="50"/>
    <d v="2025-02-22T00:00:00"/>
    <s v="M"/>
    <x v="0"/>
    <x v="0"/>
    <x v="0"/>
    <x v="3"/>
    <x v="1"/>
    <x v="7"/>
    <x v="1"/>
  </r>
  <r>
    <x v="1336"/>
    <x v="9"/>
    <x v="9"/>
    <n v="68.900000000000006"/>
    <x v="1108"/>
    <x v="50"/>
    <d v="2025-02-22T00:00:00"/>
    <s v="M"/>
    <x v="4"/>
    <x v="1"/>
    <x v="0"/>
    <x v="3"/>
    <x v="1"/>
    <x v="7"/>
    <x v="1"/>
  </r>
  <r>
    <x v="1337"/>
    <x v="6"/>
    <x v="2"/>
    <n v="84"/>
    <x v="816"/>
    <x v="50"/>
    <d v="2025-02-21T00:00:00"/>
    <s v="M"/>
    <x v="1"/>
    <x v="4"/>
    <x v="0"/>
    <x v="16"/>
    <x v="3"/>
    <x v="7"/>
    <x v="1"/>
  </r>
  <r>
    <x v="1338"/>
    <x v="15"/>
    <x v="8"/>
    <n v="23.1"/>
    <x v="827"/>
    <x v="50"/>
    <d v="2025-02-25T00:00:00"/>
    <s v="M"/>
    <x v="0"/>
    <x v="2"/>
    <x v="0"/>
    <x v="23"/>
    <x v="0"/>
    <x v="7"/>
    <x v="1"/>
  </r>
  <r>
    <x v="1339"/>
    <x v="7"/>
    <x v="1"/>
    <n v="62.4"/>
    <x v="1109"/>
    <x v="50"/>
    <d v="2025-02-21T00:00:00"/>
    <s v="F"/>
    <x v="0"/>
    <x v="1"/>
    <x v="0"/>
    <x v="6"/>
    <x v="3"/>
    <x v="7"/>
    <x v="2"/>
  </r>
  <r>
    <x v="1340"/>
    <x v="6"/>
    <x v="4"/>
    <n v="40.700000000000003"/>
    <x v="1110"/>
    <x v="50"/>
    <d v="2025-02-22T00:00:00"/>
    <s v="M"/>
    <x v="1"/>
    <x v="2"/>
    <x v="0"/>
    <x v="6"/>
    <x v="1"/>
    <x v="7"/>
    <x v="1"/>
  </r>
  <r>
    <x v="1341"/>
    <x v="6"/>
    <x v="0"/>
    <n v="49.6"/>
    <x v="1111"/>
    <x v="50"/>
    <d v="2025-02-23T00:00:00"/>
    <s v="M"/>
    <x v="2"/>
    <x v="0"/>
    <x v="0"/>
    <x v="7"/>
    <x v="2"/>
    <x v="7"/>
    <x v="1"/>
  </r>
  <r>
    <x v="1342"/>
    <x v="7"/>
    <x v="41"/>
    <n v="66.599999999999994"/>
    <x v="1112"/>
    <x v="50"/>
    <d v="2025-02-23T00:00:00"/>
    <s v="M"/>
    <x v="2"/>
    <x v="0"/>
    <x v="0"/>
    <x v="8"/>
    <x v="2"/>
    <x v="7"/>
    <x v="1"/>
  </r>
  <r>
    <x v="1343"/>
    <x v="8"/>
    <x v="2"/>
    <n v="26.4"/>
    <x v="1113"/>
    <x v="50"/>
    <d v="2025-02-21T00:00:00"/>
    <s v="F"/>
    <x v="1"/>
    <x v="1"/>
    <x v="0"/>
    <x v="8"/>
    <x v="3"/>
    <x v="7"/>
    <x v="2"/>
  </r>
  <r>
    <x v="1344"/>
    <x v="0"/>
    <x v="1"/>
    <n v="17.2"/>
    <x v="1114"/>
    <x v="50"/>
    <d v="2025-02-23T00:00:00"/>
    <s v="M"/>
    <x v="2"/>
    <x v="1"/>
    <x v="0"/>
    <x v="8"/>
    <x v="2"/>
    <x v="7"/>
    <x v="1"/>
  </r>
  <r>
    <x v="1345"/>
    <x v="5"/>
    <x v="8"/>
    <n v="58.1"/>
    <x v="1115"/>
    <x v="50"/>
    <d v="2025-02-23T00:00:00"/>
    <s v="F"/>
    <x v="4"/>
    <x v="0"/>
    <x v="0"/>
    <x v="8"/>
    <x v="2"/>
    <x v="7"/>
    <x v="2"/>
  </r>
  <r>
    <x v="1346"/>
    <x v="15"/>
    <x v="12"/>
    <n v="31.5"/>
    <x v="624"/>
    <x v="50"/>
    <d v="2025-02-23T00:00:00"/>
    <s v="F"/>
    <x v="4"/>
    <x v="4"/>
    <x v="0"/>
    <x v="8"/>
    <x v="2"/>
    <x v="7"/>
    <x v="2"/>
  </r>
  <r>
    <x v="1347"/>
    <x v="0"/>
    <x v="0"/>
    <n v="27.1"/>
    <x v="1116"/>
    <x v="50"/>
    <d v="2025-02-22T00:00:00"/>
    <s v="F"/>
    <x v="0"/>
    <x v="1"/>
    <x v="0"/>
    <x v="17"/>
    <x v="1"/>
    <x v="7"/>
    <x v="2"/>
  </r>
  <r>
    <x v="1348"/>
    <x v="18"/>
    <x v="12"/>
    <n v="28.5"/>
    <x v="717"/>
    <x v="50"/>
    <d v="2025-02-22T00:00:00"/>
    <s v="M"/>
    <x v="1"/>
    <x v="2"/>
    <x v="0"/>
    <x v="9"/>
    <x v="1"/>
    <x v="7"/>
    <x v="1"/>
  </r>
  <r>
    <x v="1349"/>
    <x v="10"/>
    <x v="0"/>
    <n v="40.5"/>
    <x v="1117"/>
    <x v="51"/>
    <d v="2025-02-23T00:00:00"/>
    <s v="O"/>
    <x v="2"/>
    <x v="0"/>
    <x v="0"/>
    <x v="9"/>
    <x v="1"/>
    <x v="7"/>
    <x v="3"/>
  </r>
  <r>
    <x v="1350"/>
    <x v="2"/>
    <x v="2"/>
    <n v="77.900000000000006"/>
    <x v="1118"/>
    <x v="51"/>
    <d v="2025-02-25T00:00:00"/>
    <s v="F"/>
    <x v="1"/>
    <x v="2"/>
    <x v="0"/>
    <x v="19"/>
    <x v="5"/>
    <x v="7"/>
    <x v="2"/>
  </r>
  <r>
    <x v="1351"/>
    <x v="18"/>
    <x v="12"/>
    <n v="37.1"/>
    <x v="1119"/>
    <x v="51"/>
    <d v="2025-02-23T00:00:00"/>
    <s v="M"/>
    <x v="4"/>
    <x v="2"/>
    <x v="0"/>
    <x v="19"/>
    <x v="1"/>
    <x v="7"/>
    <x v="1"/>
  </r>
  <r>
    <x v="1352"/>
    <x v="16"/>
    <x v="2"/>
    <n v="51.6"/>
    <x v="1120"/>
    <x v="51"/>
    <d v="2025-03-01T00:00:00"/>
    <s v="F"/>
    <x v="0"/>
    <x v="4"/>
    <x v="0"/>
    <x v="19"/>
    <x v="9"/>
    <x v="7"/>
    <x v="2"/>
  </r>
  <r>
    <x v="1353"/>
    <x v="7"/>
    <x v="2"/>
    <n v="98"/>
    <x v="1121"/>
    <x v="51"/>
    <d v="2025-02-22T00:00:00"/>
    <s v="M"/>
    <x v="1"/>
    <x v="1"/>
    <x v="0"/>
    <x v="19"/>
    <x v="3"/>
    <x v="7"/>
    <x v="1"/>
  </r>
  <r>
    <x v="1354"/>
    <x v="6"/>
    <x v="3"/>
    <n v="41.4"/>
    <x v="1122"/>
    <x v="51"/>
    <d v="2025-02-22T00:00:00"/>
    <s v="M"/>
    <x v="1"/>
    <x v="0"/>
    <x v="0"/>
    <x v="20"/>
    <x v="3"/>
    <x v="7"/>
    <x v="1"/>
  </r>
  <r>
    <x v="1355"/>
    <x v="11"/>
    <x v="8"/>
    <n v="34"/>
    <x v="1123"/>
    <x v="51"/>
    <d v="2025-02-26T00:00:00"/>
    <s v="F"/>
    <x v="0"/>
    <x v="2"/>
    <x v="0"/>
    <x v="52"/>
    <x v="0"/>
    <x v="7"/>
    <x v="2"/>
  </r>
  <r>
    <x v="1356"/>
    <x v="6"/>
    <x v="0"/>
    <n v="66.3"/>
    <x v="1124"/>
    <x v="51"/>
    <d v="2025-02-22T00:00:00"/>
    <s v="F"/>
    <x v="1"/>
    <x v="0"/>
    <x v="0"/>
    <x v="13"/>
    <x v="3"/>
    <x v="7"/>
    <x v="2"/>
  </r>
  <r>
    <x v="1357"/>
    <x v="7"/>
    <x v="0"/>
    <n v="33.5"/>
    <x v="253"/>
    <x v="51"/>
    <d v="2025-02-25T00:00:00"/>
    <s v="M"/>
    <x v="2"/>
    <x v="0"/>
    <x v="0"/>
    <x v="13"/>
    <x v="5"/>
    <x v="7"/>
    <x v="1"/>
  </r>
  <r>
    <x v="1358"/>
    <x v="12"/>
    <x v="1"/>
    <n v="70.8"/>
    <x v="932"/>
    <x v="51"/>
    <d v="2025-02-22T00:00:00"/>
    <s v=""/>
    <x v="0"/>
    <x v="0"/>
    <x v="0"/>
    <x v="28"/>
    <x v="3"/>
    <x v="7"/>
    <x v="0"/>
  </r>
  <r>
    <x v="1359"/>
    <x v="6"/>
    <x v="1"/>
    <n v="127.6"/>
    <x v="281"/>
    <x v="51"/>
    <d v="2025-02-22T00:00:00"/>
    <s v="M"/>
    <x v="0"/>
    <x v="0"/>
    <x v="0"/>
    <x v="21"/>
    <x v="3"/>
    <x v="7"/>
    <x v="1"/>
  </r>
  <r>
    <x v="1360"/>
    <x v="6"/>
    <x v="2"/>
    <n v="95.9"/>
    <x v="1125"/>
    <x v="51"/>
    <d v="2025-02-22T00:00:00"/>
    <s v="F"/>
    <x v="1"/>
    <x v="1"/>
    <x v="0"/>
    <x v="21"/>
    <x v="3"/>
    <x v="7"/>
    <x v="2"/>
  </r>
  <r>
    <x v="1361"/>
    <x v="2"/>
    <x v="1"/>
    <n v="78.099999999999994"/>
    <x v="1126"/>
    <x v="51"/>
    <d v="2025-02-22T00:00:00"/>
    <s v="M"/>
    <x v="0"/>
    <x v="0"/>
    <x v="0"/>
    <x v="1"/>
    <x v="3"/>
    <x v="7"/>
    <x v="1"/>
  </r>
  <r>
    <x v="1362"/>
    <x v="13"/>
    <x v="1"/>
    <n v="43.2"/>
    <x v="781"/>
    <x v="51"/>
    <d v="2025-02-22T00:00:00"/>
    <s v=""/>
    <x v="1"/>
    <x v="1"/>
    <x v="0"/>
    <x v="1"/>
    <x v="3"/>
    <x v="7"/>
    <x v="0"/>
  </r>
  <r>
    <x v="1363"/>
    <x v="8"/>
    <x v="12"/>
    <n v="28.4"/>
    <x v="1127"/>
    <x v="51"/>
    <d v="2025-02-27T00:00:00"/>
    <s v="M"/>
    <x v="2"/>
    <x v="0"/>
    <x v="0"/>
    <x v="3"/>
    <x v="4"/>
    <x v="7"/>
    <x v="1"/>
  </r>
  <r>
    <x v="1364"/>
    <x v="2"/>
    <x v="1"/>
    <n v="81.7"/>
    <x v="1128"/>
    <x v="51"/>
    <d v="2025-02-21T00:00:00"/>
    <s v="M"/>
    <x v="0"/>
    <x v="0"/>
    <x v="0"/>
    <x v="3"/>
    <x v="7"/>
    <x v="7"/>
    <x v="1"/>
  </r>
  <r>
    <x v="1365"/>
    <x v="18"/>
    <x v="1"/>
    <n v="56.7"/>
    <x v="1129"/>
    <x v="51"/>
    <d v="2025-02-23T00:00:00"/>
    <s v=""/>
    <x v="0"/>
    <x v="2"/>
    <x v="0"/>
    <x v="3"/>
    <x v="1"/>
    <x v="7"/>
    <x v="0"/>
  </r>
  <r>
    <x v="1366"/>
    <x v="3"/>
    <x v="12"/>
    <n v="66.5"/>
    <x v="751"/>
    <x v="51"/>
    <d v="2025-02-21T00:00:00"/>
    <s v="F"/>
    <x v="0"/>
    <x v="2"/>
    <x v="0"/>
    <x v="3"/>
    <x v="7"/>
    <x v="7"/>
    <x v="2"/>
  </r>
  <r>
    <x v="1367"/>
    <x v="1"/>
    <x v="1"/>
    <n v="105.3"/>
    <x v="1130"/>
    <x v="51"/>
    <d v="2025-02-25T00:00:00"/>
    <s v="M"/>
    <x v="0"/>
    <x v="1"/>
    <x v="0"/>
    <x v="3"/>
    <x v="5"/>
    <x v="7"/>
    <x v="1"/>
  </r>
  <r>
    <x v="1368"/>
    <x v="10"/>
    <x v="9"/>
    <n v="33.799999999999997"/>
    <x v="900"/>
    <x v="51"/>
    <d v="2025-02-26T00:00:00"/>
    <s v="M"/>
    <x v="0"/>
    <x v="0"/>
    <x v="0"/>
    <x v="3"/>
    <x v="0"/>
    <x v="7"/>
    <x v="1"/>
  </r>
  <r>
    <x v="1369"/>
    <x v="6"/>
    <x v="2"/>
    <n v="63.4"/>
    <x v="1131"/>
    <x v="51"/>
    <d v="2025-02-26T00:00:00"/>
    <s v="M"/>
    <x v="3"/>
    <x v="1"/>
    <x v="0"/>
    <x v="24"/>
    <x v="0"/>
    <x v="7"/>
    <x v="1"/>
  </r>
  <r>
    <x v="1370"/>
    <x v="6"/>
    <x v="2"/>
    <n v="49"/>
    <x v="926"/>
    <x v="51"/>
    <d v="2025-02-25T00:00:00"/>
    <s v="M"/>
    <x v="3"/>
    <x v="0"/>
    <x v="0"/>
    <x v="49"/>
    <x v="5"/>
    <x v="7"/>
    <x v="1"/>
  </r>
  <r>
    <x v="1371"/>
    <x v="1"/>
    <x v="1"/>
    <n v="40"/>
    <x v="479"/>
    <x v="51"/>
    <d v="2025-02-22T00:00:00"/>
    <s v="F"/>
    <x v="4"/>
    <x v="1"/>
    <x v="0"/>
    <x v="23"/>
    <x v="3"/>
    <x v="7"/>
    <x v="2"/>
  </r>
  <r>
    <x v="1372"/>
    <x v="6"/>
    <x v="12"/>
    <n v="86.3"/>
    <x v="1132"/>
    <x v="51"/>
    <d v="2025-02-22T00:00:00"/>
    <s v="O"/>
    <x v="0"/>
    <x v="0"/>
    <x v="0"/>
    <x v="6"/>
    <x v="3"/>
    <x v="7"/>
    <x v="3"/>
  </r>
  <r>
    <x v="1373"/>
    <x v="6"/>
    <x v="0"/>
    <n v="51.6"/>
    <x v="937"/>
    <x v="51"/>
    <d v="2025-02-23T00:00:00"/>
    <s v="F"/>
    <x v="2"/>
    <x v="2"/>
    <x v="0"/>
    <x v="6"/>
    <x v="1"/>
    <x v="7"/>
    <x v="2"/>
  </r>
  <r>
    <x v="1374"/>
    <x v="10"/>
    <x v="2"/>
    <n v="26.7"/>
    <x v="1133"/>
    <x v="51"/>
    <d v="2025-02-26T00:00:00"/>
    <s v="F"/>
    <x v="2"/>
    <x v="1"/>
    <x v="0"/>
    <x v="6"/>
    <x v="0"/>
    <x v="7"/>
    <x v="2"/>
  </r>
  <r>
    <x v="1375"/>
    <x v="18"/>
    <x v="1"/>
    <n v="68.099999999999994"/>
    <x v="1134"/>
    <x v="51"/>
    <d v="2025-02-22T00:00:00"/>
    <s v="M"/>
    <x v="0"/>
    <x v="1"/>
    <x v="0"/>
    <x v="6"/>
    <x v="3"/>
    <x v="7"/>
    <x v="1"/>
  </r>
  <r>
    <x v="1376"/>
    <x v="1"/>
    <x v="0"/>
    <n v="81.7"/>
    <x v="1135"/>
    <x v="51"/>
    <d v="2025-02-22T00:00:00"/>
    <s v="M"/>
    <x v="0"/>
    <x v="0"/>
    <x v="0"/>
    <x v="7"/>
    <x v="3"/>
    <x v="7"/>
    <x v="1"/>
  </r>
  <r>
    <x v="1377"/>
    <x v="18"/>
    <x v="7"/>
    <n v="25.1"/>
    <x v="1136"/>
    <x v="51"/>
    <d v="2025-02-24T00:00:00"/>
    <s v="M"/>
    <x v="3"/>
    <x v="1"/>
    <x v="0"/>
    <x v="8"/>
    <x v="2"/>
    <x v="7"/>
    <x v="1"/>
  </r>
  <r>
    <x v="1378"/>
    <x v="8"/>
    <x v="0"/>
    <n v="20.2"/>
    <x v="1137"/>
    <x v="51"/>
    <d v="2025-02-25T00:00:00"/>
    <s v="F"/>
    <x v="0"/>
    <x v="0"/>
    <x v="0"/>
    <x v="8"/>
    <x v="5"/>
    <x v="7"/>
    <x v="2"/>
  </r>
  <r>
    <x v="1379"/>
    <x v="8"/>
    <x v="2"/>
    <n v="15.4"/>
    <x v="1063"/>
    <x v="51"/>
    <d v="2025-02-22T00:00:00"/>
    <s v="M"/>
    <x v="1"/>
    <x v="2"/>
    <x v="0"/>
    <x v="8"/>
    <x v="3"/>
    <x v="7"/>
    <x v="1"/>
  </r>
  <r>
    <x v="1380"/>
    <x v="10"/>
    <x v="0"/>
    <n v="59.2"/>
    <x v="1100"/>
    <x v="51"/>
    <d v="2025-02-22T00:00:00"/>
    <s v="M"/>
    <x v="2"/>
    <x v="2"/>
    <x v="0"/>
    <x v="17"/>
    <x v="3"/>
    <x v="7"/>
    <x v="1"/>
  </r>
  <r>
    <x v="1381"/>
    <x v="0"/>
    <x v="0"/>
    <n v="46.7"/>
    <x v="594"/>
    <x v="51"/>
    <d v="2025-02-26T00:00:00"/>
    <s v="M"/>
    <x v="0"/>
    <x v="0"/>
    <x v="0"/>
    <x v="17"/>
    <x v="0"/>
    <x v="7"/>
    <x v="1"/>
  </r>
  <r>
    <x v="1382"/>
    <x v="6"/>
    <x v="20"/>
    <n v="41.6"/>
    <x v="1138"/>
    <x v="51"/>
    <d v="2025-02-23T00:00:00"/>
    <s v="M"/>
    <x v="1"/>
    <x v="0"/>
    <x v="0"/>
    <x v="26"/>
    <x v="1"/>
    <x v="7"/>
    <x v="1"/>
  </r>
  <r>
    <x v="1383"/>
    <x v="8"/>
    <x v="1"/>
    <n v="19.2"/>
    <x v="1139"/>
    <x v="51"/>
    <d v="2025-02-24T00:00:00"/>
    <s v="M"/>
    <x v="4"/>
    <x v="2"/>
    <x v="0"/>
    <x v="9"/>
    <x v="2"/>
    <x v="7"/>
    <x v="1"/>
  </r>
  <r>
    <x v="1384"/>
    <x v="17"/>
    <x v="3"/>
    <n v="41.8"/>
    <x v="1140"/>
    <x v="51"/>
    <d v="2025-02-23T00:00:00"/>
    <s v="F"/>
    <x v="2"/>
    <x v="0"/>
    <x v="0"/>
    <x v="11"/>
    <x v="1"/>
    <x v="7"/>
    <x v="2"/>
  </r>
  <r>
    <x v="1385"/>
    <x v="8"/>
    <x v="13"/>
    <n v="37.4"/>
    <x v="1141"/>
    <x v="51"/>
    <d v="2025-02-23T00:00:00"/>
    <s v="M"/>
    <x v="0"/>
    <x v="2"/>
    <x v="0"/>
    <x v="11"/>
    <x v="1"/>
    <x v="7"/>
    <x v="1"/>
  </r>
  <r>
    <x v="1386"/>
    <x v="10"/>
    <x v="2"/>
    <n v="60.2"/>
    <x v="1142"/>
    <x v="51"/>
    <d v="2025-02-24T00:00:00"/>
    <s v="M"/>
    <x v="4"/>
    <x v="1"/>
    <x v="0"/>
    <x v="38"/>
    <x v="2"/>
    <x v="7"/>
    <x v="1"/>
  </r>
  <r>
    <x v="1387"/>
    <x v="9"/>
    <x v="1"/>
    <n v="91.5"/>
    <x v="1143"/>
    <x v="52"/>
    <d v="2025-02-23T00:00:00"/>
    <s v="M"/>
    <x v="0"/>
    <x v="0"/>
    <x v="0"/>
    <x v="13"/>
    <x v="3"/>
    <x v="7"/>
    <x v="1"/>
  </r>
  <r>
    <x v="1388"/>
    <x v="3"/>
    <x v="9"/>
    <n v="55.7"/>
    <x v="1144"/>
    <x v="52"/>
    <d v="2025-02-24T00:00:00"/>
    <s v=""/>
    <x v="1"/>
    <x v="2"/>
    <x v="0"/>
    <x v="21"/>
    <x v="1"/>
    <x v="7"/>
    <x v="0"/>
  </r>
  <r>
    <x v="1389"/>
    <x v="7"/>
    <x v="1"/>
    <n v="76.7"/>
    <x v="1145"/>
    <x v="52"/>
    <d v="2025-02-24T00:00:00"/>
    <s v="M"/>
    <x v="0"/>
    <x v="1"/>
    <x v="0"/>
    <x v="21"/>
    <x v="1"/>
    <x v="7"/>
    <x v="1"/>
  </r>
  <r>
    <x v="1390"/>
    <x v="8"/>
    <x v="38"/>
    <n v="28.2"/>
    <x v="1146"/>
    <x v="52"/>
    <d v="2025-02-27T00:00:00"/>
    <s v="M"/>
    <x v="2"/>
    <x v="0"/>
    <x v="0"/>
    <x v="1"/>
    <x v="0"/>
    <x v="7"/>
    <x v="1"/>
  </r>
  <r>
    <x v="1391"/>
    <x v="7"/>
    <x v="9"/>
    <n v="93.2"/>
    <x v="1147"/>
    <x v="52"/>
    <d v="2025-02-24T00:00:00"/>
    <s v="F"/>
    <x v="4"/>
    <x v="2"/>
    <x v="0"/>
    <x v="1"/>
    <x v="1"/>
    <x v="7"/>
    <x v="2"/>
  </r>
  <r>
    <x v="1392"/>
    <x v="17"/>
    <x v="0"/>
    <n v="33.299999999999997"/>
    <x v="698"/>
    <x v="52"/>
    <d v="2025-02-23T00:00:00"/>
    <s v="M"/>
    <x v="4"/>
    <x v="0"/>
    <x v="0"/>
    <x v="2"/>
    <x v="3"/>
    <x v="7"/>
    <x v="1"/>
  </r>
  <r>
    <x v="1393"/>
    <x v="10"/>
    <x v="1"/>
    <n v="39.1"/>
    <x v="1148"/>
    <x v="52"/>
    <d v="2025-02-25T00:00:00"/>
    <s v="M"/>
    <x v="0"/>
    <x v="0"/>
    <x v="0"/>
    <x v="44"/>
    <x v="2"/>
    <x v="7"/>
    <x v="1"/>
  </r>
  <r>
    <x v="1394"/>
    <x v="7"/>
    <x v="4"/>
    <n v="45.3"/>
    <x v="1149"/>
    <x v="52"/>
    <d v="2025-02-23T00:00:00"/>
    <s v="M"/>
    <x v="2"/>
    <x v="0"/>
    <x v="0"/>
    <x v="33"/>
    <x v="3"/>
    <x v="7"/>
    <x v="1"/>
  </r>
  <r>
    <x v="1395"/>
    <x v="9"/>
    <x v="3"/>
    <n v="33.9"/>
    <x v="1150"/>
    <x v="52"/>
    <d v="2025-02-23T00:00:00"/>
    <s v="M"/>
    <x v="4"/>
    <x v="0"/>
    <x v="0"/>
    <x v="33"/>
    <x v="3"/>
    <x v="7"/>
    <x v="1"/>
  </r>
  <r>
    <x v="1396"/>
    <x v="8"/>
    <x v="2"/>
    <n v="19"/>
    <x v="933"/>
    <x v="52"/>
    <d v="2025-02-23T00:00:00"/>
    <s v="M"/>
    <x v="0"/>
    <x v="2"/>
    <x v="0"/>
    <x v="15"/>
    <x v="3"/>
    <x v="7"/>
    <x v="1"/>
  </r>
  <r>
    <x v="1397"/>
    <x v="4"/>
    <x v="0"/>
    <n v="41.9"/>
    <x v="1151"/>
    <x v="52"/>
    <d v="2025-02-25T00:00:00"/>
    <s v="F"/>
    <x v="2"/>
    <x v="0"/>
    <x v="0"/>
    <x v="22"/>
    <x v="2"/>
    <x v="7"/>
    <x v="2"/>
  </r>
  <r>
    <x v="1398"/>
    <x v="1"/>
    <x v="12"/>
    <n v="37.5"/>
    <x v="638"/>
    <x v="52"/>
    <d v="2025-02-22T00:00:00"/>
    <s v="F"/>
    <x v="0"/>
    <x v="0"/>
    <x v="0"/>
    <x v="3"/>
    <x v="7"/>
    <x v="7"/>
    <x v="2"/>
  </r>
  <r>
    <x v="1399"/>
    <x v="0"/>
    <x v="1"/>
    <n v="40.799999999999997"/>
    <x v="330"/>
    <x v="52"/>
    <d v="2025-02-25T00:00:00"/>
    <s v="M"/>
    <x v="0"/>
    <x v="0"/>
    <x v="0"/>
    <x v="3"/>
    <x v="2"/>
    <x v="7"/>
    <x v="1"/>
  </r>
  <r>
    <x v="1400"/>
    <x v="0"/>
    <x v="12"/>
    <n v="23.1"/>
    <x v="1152"/>
    <x v="52"/>
    <d v="2025-02-23T00:00:00"/>
    <s v="F"/>
    <x v="4"/>
    <x v="0"/>
    <x v="0"/>
    <x v="3"/>
    <x v="3"/>
    <x v="7"/>
    <x v="2"/>
  </r>
  <r>
    <x v="1401"/>
    <x v="8"/>
    <x v="9"/>
    <n v="39.299999999999997"/>
    <x v="756"/>
    <x v="52"/>
    <d v="2025-02-23T00:00:00"/>
    <s v="F"/>
    <x v="0"/>
    <x v="0"/>
    <x v="0"/>
    <x v="3"/>
    <x v="3"/>
    <x v="7"/>
    <x v="2"/>
  </r>
  <r>
    <x v="1402"/>
    <x v="2"/>
    <x v="12"/>
    <n v="85.2"/>
    <x v="1153"/>
    <x v="52"/>
    <d v="2025-02-27T00:00:00"/>
    <s v="M"/>
    <x v="2"/>
    <x v="0"/>
    <x v="0"/>
    <x v="3"/>
    <x v="0"/>
    <x v="7"/>
    <x v="1"/>
  </r>
  <r>
    <x v="1403"/>
    <x v="8"/>
    <x v="13"/>
    <n v="16"/>
    <x v="854"/>
    <x v="52"/>
    <d v="2025-02-25T00:00:00"/>
    <s v="M"/>
    <x v="1"/>
    <x v="0"/>
    <x v="0"/>
    <x v="3"/>
    <x v="2"/>
    <x v="7"/>
    <x v="1"/>
  </r>
  <r>
    <x v="1404"/>
    <x v="1"/>
    <x v="1"/>
    <n v="33.799999999999997"/>
    <x v="821"/>
    <x v="52"/>
    <d v="2025-02-26T00:00:00"/>
    <s v="F"/>
    <x v="1"/>
    <x v="0"/>
    <x v="0"/>
    <x v="3"/>
    <x v="5"/>
    <x v="7"/>
    <x v="2"/>
  </r>
  <r>
    <x v="1405"/>
    <x v="3"/>
    <x v="0"/>
    <n v="70"/>
    <x v="1154"/>
    <x v="52"/>
    <d v="2025-02-23T00:00:00"/>
    <s v="F"/>
    <x v="0"/>
    <x v="0"/>
    <x v="0"/>
    <x v="3"/>
    <x v="3"/>
    <x v="7"/>
    <x v="2"/>
  </r>
  <r>
    <x v="1406"/>
    <x v="9"/>
    <x v="0"/>
    <n v="88"/>
    <x v="1155"/>
    <x v="52"/>
    <d v="2025-02-27T00:00:00"/>
    <s v="F"/>
    <x v="3"/>
    <x v="0"/>
    <x v="0"/>
    <x v="3"/>
    <x v="0"/>
    <x v="7"/>
    <x v="2"/>
  </r>
  <r>
    <x v="1407"/>
    <x v="2"/>
    <x v="2"/>
    <n v="74.099999999999994"/>
    <x v="1156"/>
    <x v="52"/>
    <d v="2025-02-22T00:00:00"/>
    <s v="M"/>
    <x v="4"/>
    <x v="1"/>
    <x v="0"/>
    <x v="3"/>
    <x v="7"/>
    <x v="7"/>
    <x v="1"/>
  </r>
  <r>
    <x v="1408"/>
    <x v="2"/>
    <x v="0"/>
    <n v="161.9"/>
    <x v="1157"/>
    <x v="52"/>
    <d v="2025-02-24T00:00:00"/>
    <s v="M"/>
    <x v="2"/>
    <x v="0"/>
    <x v="0"/>
    <x v="3"/>
    <x v="1"/>
    <x v="7"/>
    <x v="1"/>
  </r>
  <r>
    <x v="1409"/>
    <x v="4"/>
    <x v="1"/>
    <n v="44"/>
    <x v="1155"/>
    <x v="52"/>
    <d v="2025-02-23T00:00:00"/>
    <s v="O"/>
    <x v="4"/>
    <x v="1"/>
    <x v="0"/>
    <x v="3"/>
    <x v="3"/>
    <x v="7"/>
    <x v="3"/>
  </r>
  <r>
    <x v="1410"/>
    <x v="11"/>
    <x v="0"/>
    <n v="32.1"/>
    <x v="1158"/>
    <x v="52"/>
    <d v="2025-02-22T00:00:00"/>
    <s v="F"/>
    <x v="3"/>
    <x v="3"/>
    <x v="0"/>
    <x v="3"/>
    <x v="7"/>
    <x v="7"/>
    <x v="2"/>
  </r>
  <r>
    <x v="1411"/>
    <x v="2"/>
    <x v="12"/>
    <n v="104.8"/>
    <x v="1159"/>
    <x v="53"/>
    <d v="2025-02-25T00:00:00"/>
    <s v="O"/>
    <x v="0"/>
    <x v="0"/>
    <x v="0"/>
    <x v="3"/>
    <x v="1"/>
    <x v="8"/>
    <x v="3"/>
  </r>
  <r>
    <x v="1412"/>
    <x v="9"/>
    <x v="13"/>
    <n v="67.400000000000006"/>
    <x v="1160"/>
    <x v="53"/>
    <d v="2025-02-24T00:00:00"/>
    <s v="F"/>
    <x v="3"/>
    <x v="0"/>
    <x v="0"/>
    <x v="3"/>
    <x v="3"/>
    <x v="8"/>
    <x v="2"/>
  </r>
  <r>
    <x v="1413"/>
    <x v="6"/>
    <x v="1"/>
    <n v="115.2"/>
    <x v="1161"/>
    <x v="53"/>
    <d v="2025-02-24T00:00:00"/>
    <s v="F"/>
    <x v="1"/>
    <x v="0"/>
    <x v="0"/>
    <x v="4"/>
    <x v="3"/>
    <x v="8"/>
    <x v="2"/>
  </r>
  <r>
    <x v="1414"/>
    <x v="8"/>
    <x v="19"/>
    <n v="15.5"/>
    <x v="148"/>
    <x v="53"/>
    <d v="2025-02-25T00:00:00"/>
    <s v="F"/>
    <x v="0"/>
    <x v="1"/>
    <x v="0"/>
    <x v="23"/>
    <x v="1"/>
    <x v="8"/>
    <x v="2"/>
  </r>
  <r>
    <x v="1415"/>
    <x v="6"/>
    <x v="5"/>
    <n v="66.400000000000006"/>
    <x v="1162"/>
    <x v="53"/>
    <d v="2025-02-25T00:00:00"/>
    <s v="F"/>
    <x v="0"/>
    <x v="0"/>
    <x v="0"/>
    <x v="6"/>
    <x v="1"/>
    <x v="8"/>
    <x v="2"/>
  </r>
  <r>
    <x v="1416"/>
    <x v="9"/>
    <x v="4"/>
    <n v="68.099999999999994"/>
    <x v="1163"/>
    <x v="53"/>
    <d v="2025-02-24T00:00:00"/>
    <s v="F"/>
    <x v="2"/>
    <x v="0"/>
    <x v="0"/>
    <x v="8"/>
    <x v="3"/>
    <x v="8"/>
    <x v="2"/>
  </r>
  <r>
    <x v="1417"/>
    <x v="8"/>
    <x v="9"/>
    <n v="32.5"/>
    <x v="1164"/>
    <x v="53"/>
    <d v="2025-02-27T00:00:00"/>
    <s v="M"/>
    <x v="2"/>
    <x v="1"/>
    <x v="0"/>
    <x v="8"/>
    <x v="5"/>
    <x v="8"/>
    <x v="1"/>
  </r>
  <r>
    <x v="1418"/>
    <x v="15"/>
    <x v="2"/>
    <n v="61.2"/>
    <x v="1165"/>
    <x v="53"/>
    <d v="2025-02-25T00:00:00"/>
    <s v="F"/>
    <x v="1"/>
    <x v="1"/>
    <x v="0"/>
    <x v="8"/>
    <x v="1"/>
    <x v="8"/>
    <x v="2"/>
  </r>
  <r>
    <x v="1419"/>
    <x v="9"/>
    <x v="1"/>
    <n v="54.2"/>
    <x v="1061"/>
    <x v="53"/>
    <d v="2025-02-24T00:00:00"/>
    <s v="F"/>
    <x v="1"/>
    <x v="0"/>
    <x v="0"/>
    <x v="8"/>
    <x v="3"/>
    <x v="8"/>
    <x v="2"/>
  </r>
  <r>
    <x v="1420"/>
    <x v="11"/>
    <x v="8"/>
    <n v="28.7"/>
    <x v="1166"/>
    <x v="53"/>
    <d v="2025-02-25T00:00:00"/>
    <s v="M"/>
    <x v="1"/>
    <x v="0"/>
    <x v="0"/>
    <x v="9"/>
    <x v="1"/>
    <x v="8"/>
    <x v="1"/>
  </r>
  <r>
    <x v="1421"/>
    <x v="12"/>
    <x v="13"/>
    <n v="38.200000000000003"/>
    <x v="1167"/>
    <x v="53"/>
    <d v="2025-02-27T00:00:00"/>
    <s v="F"/>
    <x v="0"/>
    <x v="1"/>
    <x v="0"/>
    <x v="9"/>
    <x v="5"/>
    <x v="8"/>
    <x v="2"/>
  </r>
  <r>
    <x v="1422"/>
    <x v="8"/>
    <x v="4"/>
    <n v="17.600000000000001"/>
    <x v="1168"/>
    <x v="53"/>
    <d v="2025-02-24T00:00:00"/>
    <s v="F"/>
    <x v="2"/>
    <x v="1"/>
    <x v="0"/>
    <x v="9"/>
    <x v="3"/>
    <x v="8"/>
    <x v="2"/>
  </r>
  <r>
    <x v="1423"/>
    <x v="10"/>
    <x v="2"/>
    <n v="74.599999999999994"/>
    <x v="1169"/>
    <x v="53"/>
    <d v="2025-02-23T00:00:00"/>
    <s v="F"/>
    <x v="2"/>
    <x v="0"/>
    <x v="0"/>
    <x v="11"/>
    <x v="7"/>
    <x v="8"/>
    <x v="2"/>
  </r>
  <r>
    <x v="1424"/>
    <x v="16"/>
    <x v="20"/>
    <n v="72.599999999999994"/>
    <x v="1170"/>
    <x v="53"/>
    <d v="2025-02-23T00:00:00"/>
    <s v=""/>
    <x v="1"/>
    <x v="1"/>
    <x v="0"/>
    <x v="11"/>
    <x v="7"/>
    <x v="8"/>
    <x v="0"/>
  </r>
  <r>
    <x v="1425"/>
    <x v="7"/>
    <x v="0"/>
    <n v="62.3"/>
    <x v="1030"/>
    <x v="53"/>
    <d v="2025-02-24T00:00:00"/>
    <s v="F"/>
    <x v="1"/>
    <x v="0"/>
    <x v="0"/>
    <x v="11"/>
    <x v="3"/>
    <x v="8"/>
    <x v="2"/>
  </r>
  <r>
    <x v="1426"/>
    <x v="3"/>
    <x v="2"/>
    <n v="33.799999999999997"/>
    <x v="1171"/>
    <x v="53"/>
    <d v="2025-02-25T00:00:00"/>
    <s v="M"/>
    <x v="0"/>
    <x v="2"/>
    <x v="0"/>
    <x v="20"/>
    <x v="1"/>
    <x v="8"/>
    <x v="1"/>
  </r>
  <r>
    <x v="1427"/>
    <x v="9"/>
    <x v="0"/>
    <n v="85.7"/>
    <x v="1172"/>
    <x v="53"/>
    <d v="2025-02-26T00:00:00"/>
    <s v="M"/>
    <x v="3"/>
    <x v="1"/>
    <x v="0"/>
    <x v="21"/>
    <x v="2"/>
    <x v="8"/>
    <x v="1"/>
  </r>
  <r>
    <x v="1428"/>
    <x v="6"/>
    <x v="1"/>
    <n v="92.1"/>
    <x v="1173"/>
    <x v="53"/>
    <d v="2025-02-25T00:00:00"/>
    <s v="M"/>
    <x v="1"/>
    <x v="0"/>
    <x v="0"/>
    <x v="21"/>
    <x v="1"/>
    <x v="8"/>
    <x v="1"/>
  </r>
  <r>
    <x v="1429"/>
    <x v="16"/>
    <x v="2"/>
    <n v="65.099999999999994"/>
    <x v="1174"/>
    <x v="53"/>
    <d v="2025-02-26T00:00:00"/>
    <s v="M"/>
    <x v="0"/>
    <x v="0"/>
    <x v="0"/>
    <x v="1"/>
    <x v="2"/>
    <x v="8"/>
    <x v="1"/>
  </r>
  <r>
    <x v="1430"/>
    <x v="9"/>
    <x v="3"/>
    <n v="20.3"/>
    <x v="1175"/>
    <x v="53"/>
    <d v="2025-02-24T00:00:00"/>
    <s v="F"/>
    <x v="2"/>
    <x v="2"/>
    <x v="0"/>
    <x v="2"/>
    <x v="3"/>
    <x v="8"/>
    <x v="2"/>
  </r>
  <r>
    <x v="1431"/>
    <x v="19"/>
    <x v="1"/>
    <n v="29.8"/>
    <x v="1176"/>
    <x v="53"/>
    <d v="2025-02-25T00:00:00"/>
    <s v="F"/>
    <x v="1"/>
    <x v="2"/>
    <x v="0"/>
    <x v="34"/>
    <x v="1"/>
    <x v="8"/>
    <x v="2"/>
  </r>
  <r>
    <x v="1432"/>
    <x v="0"/>
    <x v="1"/>
    <n v="24.2"/>
    <x v="655"/>
    <x v="53"/>
    <d v="2025-02-25T00:00:00"/>
    <s v="F"/>
    <x v="3"/>
    <x v="2"/>
    <x v="0"/>
    <x v="3"/>
    <x v="1"/>
    <x v="8"/>
    <x v="2"/>
  </r>
  <r>
    <x v="1433"/>
    <x v="3"/>
    <x v="0"/>
    <n v="57.3"/>
    <x v="1177"/>
    <x v="53"/>
    <d v="2025-02-25T00:00:00"/>
    <s v="M"/>
    <x v="0"/>
    <x v="0"/>
    <x v="0"/>
    <x v="3"/>
    <x v="1"/>
    <x v="8"/>
    <x v="1"/>
  </r>
  <r>
    <x v="1434"/>
    <x v="2"/>
    <x v="0"/>
    <n v="108.9"/>
    <x v="1178"/>
    <x v="53"/>
    <d v="2025-02-25T00:00:00"/>
    <s v="F"/>
    <x v="1"/>
    <x v="0"/>
    <x v="0"/>
    <x v="3"/>
    <x v="1"/>
    <x v="8"/>
    <x v="2"/>
  </r>
  <r>
    <x v="1435"/>
    <x v="7"/>
    <x v="9"/>
    <n v="50.7"/>
    <x v="103"/>
    <x v="53"/>
    <d v="2025-02-24T00:00:00"/>
    <s v="F"/>
    <x v="0"/>
    <x v="0"/>
    <x v="0"/>
    <x v="3"/>
    <x v="3"/>
    <x v="8"/>
    <x v="2"/>
  </r>
  <r>
    <x v="1436"/>
    <x v="7"/>
    <x v="11"/>
    <n v="66.099999999999994"/>
    <x v="1179"/>
    <x v="53"/>
    <d v="2025-03-09T00:00:00"/>
    <s v="F"/>
    <x v="1"/>
    <x v="0"/>
    <x v="0"/>
    <x v="3"/>
    <x v="12"/>
    <x v="8"/>
    <x v="2"/>
  </r>
  <r>
    <x v="1437"/>
    <x v="12"/>
    <x v="9"/>
    <n v="36.700000000000003"/>
    <x v="1180"/>
    <x v="53"/>
    <d v="2025-02-27T00:00:00"/>
    <s v="F"/>
    <x v="4"/>
    <x v="0"/>
    <x v="0"/>
    <x v="3"/>
    <x v="5"/>
    <x v="8"/>
    <x v="2"/>
  </r>
  <r>
    <x v="1438"/>
    <x v="8"/>
    <x v="14"/>
    <n v="19.3"/>
    <x v="1181"/>
    <x v="53"/>
    <d v="2025-02-25T00:00:00"/>
    <s v="M"/>
    <x v="0"/>
    <x v="0"/>
    <x v="0"/>
    <x v="43"/>
    <x v="1"/>
    <x v="8"/>
    <x v="1"/>
  </r>
  <r>
    <x v="1439"/>
    <x v="8"/>
    <x v="12"/>
    <n v="20.7"/>
    <x v="1182"/>
    <x v="53"/>
    <d v="2025-02-24T00:00:00"/>
    <s v="M"/>
    <x v="1"/>
    <x v="2"/>
    <x v="0"/>
    <x v="6"/>
    <x v="3"/>
    <x v="8"/>
    <x v="1"/>
  </r>
  <r>
    <x v="1440"/>
    <x v="5"/>
    <x v="2"/>
    <n v="54.7"/>
    <x v="1183"/>
    <x v="53"/>
    <d v="2025-02-23T00:00:00"/>
    <s v="O"/>
    <x v="1"/>
    <x v="4"/>
    <x v="0"/>
    <x v="6"/>
    <x v="7"/>
    <x v="8"/>
    <x v="3"/>
  </r>
  <r>
    <x v="1441"/>
    <x v="4"/>
    <x v="1"/>
    <n v="19.8"/>
    <x v="341"/>
    <x v="53"/>
    <d v="2025-02-27T00:00:00"/>
    <s v="F"/>
    <x v="4"/>
    <x v="1"/>
    <x v="0"/>
    <x v="8"/>
    <x v="5"/>
    <x v="8"/>
    <x v="2"/>
  </r>
  <r>
    <x v="1442"/>
    <x v="7"/>
    <x v="0"/>
    <n v="41.1"/>
    <x v="1184"/>
    <x v="53"/>
    <d v="2025-02-25T00:00:00"/>
    <s v="F"/>
    <x v="0"/>
    <x v="2"/>
    <x v="0"/>
    <x v="8"/>
    <x v="1"/>
    <x v="8"/>
    <x v="2"/>
  </r>
  <r>
    <x v="1443"/>
    <x v="11"/>
    <x v="8"/>
    <n v="43.5"/>
    <x v="1185"/>
    <x v="53"/>
    <d v="2025-02-27T00:00:00"/>
    <s v="F"/>
    <x v="3"/>
    <x v="0"/>
    <x v="0"/>
    <x v="8"/>
    <x v="5"/>
    <x v="8"/>
    <x v="2"/>
  </r>
  <r>
    <x v="1444"/>
    <x v="8"/>
    <x v="21"/>
    <n v="19"/>
    <x v="751"/>
    <x v="53"/>
    <d v="2025-02-24T00:00:00"/>
    <s v="M"/>
    <x v="0"/>
    <x v="0"/>
    <x v="0"/>
    <x v="26"/>
    <x v="3"/>
    <x v="8"/>
    <x v="1"/>
  </r>
  <r>
    <x v="1445"/>
    <x v="2"/>
    <x v="12"/>
    <n v="51.4"/>
    <x v="1186"/>
    <x v="53"/>
    <d v="2025-02-23T00:00:00"/>
    <s v="F"/>
    <x v="0"/>
    <x v="0"/>
    <x v="0"/>
    <x v="26"/>
    <x v="7"/>
    <x v="8"/>
    <x v="2"/>
  </r>
  <r>
    <x v="1446"/>
    <x v="10"/>
    <x v="1"/>
    <n v="39.799999999999997"/>
    <x v="1187"/>
    <x v="53"/>
    <d v="2025-02-26T00:00:00"/>
    <s v="M"/>
    <x v="3"/>
    <x v="1"/>
    <x v="0"/>
    <x v="13"/>
    <x v="2"/>
    <x v="8"/>
    <x v="1"/>
  </r>
  <r>
    <x v="1447"/>
    <x v="6"/>
    <x v="9"/>
    <n v="61"/>
    <x v="1188"/>
    <x v="53"/>
    <d v="2025-02-24T00:00:00"/>
    <s v=""/>
    <x v="0"/>
    <x v="2"/>
    <x v="0"/>
    <x v="21"/>
    <x v="3"/>
    <x v="8"/>
    <x v="0"/>
  </r>
  <r>
    <x v="1448"/>
    <x v="8"/>
    <x v="5"/>
    <n v="15.1"/>
    <x v="1189"/>
    <x v="54"/>
    <d v="2025-03-01T00:00:00"/>
    <s v="M"/>
    <x v="3"/>
    <x v="2"/>
    <x v="0"/>
    <x v="2"/>
    <x v="0"/>
    <x v="8"/>
    <x v="1"/>
  </r>
  <r>
    <x v="1449"/>
    <x v="1"/>
    <x v="3"/>
    <n v="71.3"/>
    <x v="1190"/>
    <x v="54"/>
    <d v="2025-02-25T00:00:00"/>
    <s v="M"/>
    <x v="4"/>
    <x v="0"/>
    <x v="0"/>
    <x v="3"/>
    <x v="3"/>
    <x v="8"/>
    <x v="1"/>
  </r>
  <r>
    <x v="1450"/>
    <x v="10"/>
    <x v="0"/>
    <n v="25.8"/>
    <x v="1191"/>
    <x v="54"/>
    <d v="2025-02-26T00:00:00"/>
    <s v="F"/>
    <x v="0"/>
    <x v="2"/>
    <x v="0"/>
    <x v="3"/>
    <x v="1"/>
    <x v="8"/>
    <x v="2"/>
  </r>
  <r>
    <x v="1451"/>
    <x v="8"/>
    <x v="9"/>
    <n v="39.6"/>
    <x v="1192"/>
    <x v="54"/>
    <d v="2025-02-26T00:00:00"/>
    <s v="M"/>
    <x v="1"/>
    <x v="2"/>
    <x v="0"/>
    <x v="3"/>
    <x v="1"/>
    <x v="8"/>
    <x v="1"/>
  </r>
  <r>
    <x v="1452"/>
    <x v="5"/>
    <x v="1"/>
    <n v="64"/>
    <x v="1193"/>
    <x v="54"/>
    <d v="2025-02-24T00:00:00"/>
    <s v="M"/>
    <x v="1"/>
    <x v="1"/>
    <x v="0"/>
    <x v="3"/>
    <x v="7"/>
    <x v="8"/>
    <x v="1"/>
  </r>
  <r>
    <x v="1453"/>
    <x v="8"/>
    <x v="1"/>
    <n v="30.6"/>
    <x v="1"/>
    <x v="54"/>
    <d v="2025-02-27T00:00:00"/>
    <s v="M"/>
    <x v="0"/>
    <x v="2"/>
    <x v="0"/>
    <x v="3"/>
    <x v="2"/>
    <x v="8"/>
    <x v="1"/>
  </r>
  <r>
    <x v="1454"/>
    <x v="8"/>
    <x v="1"/>
    <n v="21.3"/>
    <x v="440"/>
    <x v="54"/>
    <d v="2025-02-25T00:00:00"/>
    <s v="M"/>
    <x v="0"/>
    <x v="1"/>
    <x v="0"/>
    <x v="3"/>
    <x v="3"/>
    <x v="8"/>
    <x v="1"/>
  </r>
  <r>
    <x v="1455"/>
    <x v="7"/>
    <x v="0"/>
    <n v="40.799999999999997"/>
    <x v="803"/>
    <x v="54"/>
    <d v="2025-02-26T00:00:00"/>
    <s v="F"/>
    <x v="4"/>
    <x v="0"/>
    <x v="0"/>
    <x v="3"/>
    <x v="1"/>
    <x v="8"/>
    <x v="2"/>
  </r>
  <r>
    <x v="1456"/>
    <x v="9"/>
    <x v="12"/>
    <n v="27.7"/>
    <x v="806"/>
    <x v="54"/>
    <d v="2025-02-25T00:00:00"/>
    <s v="F"/>
    <x v="0"/>
    <x v="1"/>
    <x v="0"/>
    <x v="3"/>
    <x v="3"/>
    <x v="8"/>
    <x v="2"/>
  </r>
  <r>
    <x v="1457"/>
    <x v="6"/>
    <x v="1"/>
    <n v="64.599999999999994"/>
    <x v="769"/>
    <x v="54"/>
    <d v="2025-02-25T00:00:00"/>
    <s v="M"/>
    <x v="0"/>
    <x v="1"/>
    <x v="0"/>
    <x v="3"/>
    <x v="3"/>
    <x v="8"/>
    <x v="1"/>
  </r>
  <r>
    <x v="1458"/>
    <x v="6"/>
    <x v="27"/>
    <n v="91.1"/>
    <x v="1194"/>
    <x v="54"/>
    <d v="2025-02-25T00:00:00"/>
    <s v="F"/>
    <x v="1"/>
    <x v="2"/>
    <x v="0"/>
    <x v="3"/>
    <x v="3"/>
    <x v="8"/>
    <x v="2"/>
  </r>
  <r>
    <x v="1459"/>
    <x v="1"/>
    <x v="0"/>
    <n v="39.5"/>
    <x v="736"/>
    <x v="54"/>
    <d v="2025-03-04T00:00:00"/>
    <s v="F"/>
    <x v="0"/>
    <x v="0"/>
    <x v="0"/>
    <x v="3"/>
    <x v="9"/>
    <x v="8"/>
    <x v="2"/>
  </r>
  <r>
    <x v="1460"/>
    <x v="9"/>
    <x v="1"/>
    <n v="21.8"/>
    <x v="1195"/>
    <x v="54"/>
    <d v="2025-02-28T00:00:00"/>
    <s v="M"/>
    <x v="4"/>
    <x v="2"/>
    <x v="0"/>
    <x v="3"/>
    <x v="5"/>
    <x v="8"/>
    <x v="1"/>
  </r>
  <r>
    <x v="1461"/>
    <x v="8"/>
    <x v="1"/>
    <n v="51"/>
    <x v="1062"/>
    <x v="54"/>
    <d v="2025-02-27T00:00:00"/>
    <s v="M"/>
    <x v="3"/>
    <x v="2"/>
    <x v="0"/>
    <x v="3"/>
    <x v="2"/>
    <x v="8"/>
    <x v="1"/>
  </r>
  <r>
    <x v="1462"/>
    <x v="2"/>
    <x v="0"/>
    <n v="92.6"/>
    <x v="1196"/>
    <x v="54"/>
    <d v="2025-02-27T00:00:00"/>
    <s v="F"/>
    <x v="0"/>
    <x v="2"/>
    <x v="0"/>
    <x v="35"/>
    <x v="2"/>
    <x v="8"/>
    <x v="2"/>
  </r>
  <r>
    <x v="1463"/>
    <x v="9"/>
    <x v="1"/>
    <n v="31.1"/>
    <x v="1197"/>
    <x v="54"/>
    <d v="2025-03-01T00:00:00"/>
    <s v=""/>
    <x v="1"/>
    <x v="3"/>
    <x v="0"/>
    <x v="23"/>
    <x v="0"/>
    <x v="8"/>
    <x v="0"/>
  </r>
  <r>
    <x v="1464"/>
    <x v="5"/>
    <x v="2"/>
    <n v="56.4"/>
    <x v="362"/>
    <x v="54"/>
    <d v="2025-02-25T00:00:00"/>
    <s v=""/>
    <x v="1"/>
    <x v="0"/>
    <x v="0"/>
    <x v="6"/>
    <x v="3"/>
    <x v="8"/>
    <x v="0"/>
  </r>
  <r>
    <x v="1465"/>
    <x v="9"/>
    <x v="0"/>
    <n v="41.9"/>
    <x v="1151"/>
    <x v="54"/>
    <d v="2025-02-24T00:00:00"/>
    <s v="M"/>
    <x v="1"/>
    <x v="0"/>
    <x v="0"/>
    <x v="6"/>
    <x v="7"/>
    <x v="8"/>
    <x v="1"/>
  </r>
  <r>
    <x v="1466"/>
    <x v="10"/>
    <x v="3"/>
    <n v="45.9"/>
    <x v="1198"/>
    <x v="54"/>
    <d v="2025-02-25T00:00:00"/>
    <s v="M"/>
    <x v="3"/>
    <x v="2"/>
    <x v="0"/>
    <x v="8"/>
    <x v="3"/>
    <x v="8"/>
    <x v="1"/>
  </r>
  <r>
    <x v="1467"/>
    <x v="14"/>
    <x v="11"/>
    <n v="24.4"/>
    <x v="1199"/>
    <x v="54"/>
    <d v="2025-02-28T00:00:00"/>
    <s v="M"/>
    <x v="3"/>
    <x v="2"/>
    <x v="0"/>
    <x v="8"/>
    <x v="5"/>
    <x v="8"/>
    <x v="1"/>
  </r>
  <r>
    <x v="1468"/>
    <x v="8"/>
    <x v="0"/>
    <n v="18.2"/>
    <x v="1200"/>
    <x v="54"/>
    <d v="2025-02-25T00:00:00"/>
    <s v="F"/>
    <x v="2"/>
    <x v="2"/>
    <x v="0"/>
    <x v="8"/>
    <x v="3"/>
    <x v="8"/>
    <x v="2"/>
  </r>
  <r>
    <x v="1469"/>
    <x v="8"/>
    <x v="12"/>
    <n v="51.2"/>
    <x v="403"/>
    <x v="54"/>
    <d v="2025-02-25T00:00:00"/>
    <s v="F"/>
    <x v="0"/>
    <x v="0"/>
    <x v="0"/>
    <x v="8"/>
    <x v="3"/>
    <x v="8"/>
    <x v="2"/>
  </r>
  <r>
    <x v="1470"/>
    <x v="6"/>
    <x v="0"/>
    <n v="59.7"/>
    <x v="1201"/>
    <x v="54"/>
    <d v="2025-02-27T00:00:00"/>
    <s v="M"/>
    <x v="0"/>
    <x v="2"/>
    <x v="0"/>
    <x v="8"/>
    <x v="2"/>
    <x v="8"/>
    <x v="1"/>
  </r>
  <r>
    <x v="1471"/>
    <x v="4"/>
    <x v="1"/>
    <n v="33.6"/>
    <x v="863"/>
    <x v="54"/>
    <d v="2025-02-26T00:00:00"/>
    <s v="F"/>
    <x v="0"/>
    <x v="0"/>
    <x v="0"/>
    <x v="17"/>
    <x v="1"/>
    <x v="8"/>
    <x v="2"/>
  </r>
  <r>
    <x v="1472"/>
    <x v="12"/>
    <x v="0"/>
    <n v="90.4"/>
    <x v="786"/>
    <x v="54"/>
    <d v="2025-02-28T00:00:00"/>
    <s v="M"/>
    <x v="1"/>
    <x v="2"/>
    <x v="0"/>
    <x v="10"/>
    <x v="5"/>
    <x v="8"/>
    <x v="1"/>
  </r>
  <r>
    <x v="1473"/>
    <x v="11"/>
    <x v="2"/>
    <n v="70.3"/>
    <x v="1202"/>
    <x v="54"/>
    <d v="2025-02-24T00:00:00"/>
    <s v="M"/>
    <x v="1"/>
    <x v="2"/>
    <x v="0"/>
    <x v="11"/>
    <x v="7"/>
    <x v="8"/>
    <x v="1"/>
  </r>
  <r>
    <x v="1474"/>
    <x v="4"/>
    <x v="1"/>
    <n v="20.5"/>
    <x v="783"/>
    <x v="54"/>
    <d v="2025-02-27T00:00:00"/>
    <s v="F"/>
    <x v="0"/>
    <x v="1"/>
    <x v="0"/>
    <x v="11"/>
    <x v="2"/>
    <x v="8"/>
    <x v="2"/>
  </r>
  <r>
    <x v="1475"/>
    <x v="5"/>
    <x v="5"/>
    <n v="37.6"/>
    <x v="1203"/>
    <x v="54"/>
    <d v="2025-02-25T00:00:00"/>
    <s v="M"/>
    <x v="0"/>
    <x v="0"/>
    <x v="0"/>
    <x v="38"/>
    <x v="3"/>
    <x v="8"/>
    <x v="1"/>
  </r>
  <r>
    <x v="1476"/>
    <x v="5"/>
    <x v="12"/>
    <n v="61.5"/>
    <x v="1204"/>
    <x v="54"/>
    <d v="2025-03-03T00:00:00"/>
    <s v="F"/>
    <x v="1"/>
    <x v="4"/>
    <x v="0"/>
    <x v="13"/>
    <x v="6"/>
    <x v="8"/>
    <x v="2"/>
  </r>
  <r>
    <x v="1477"/>
    <x v="9"/>
    <x v="0"/>
    <n v="33.5"/>
    <x v="253"/>
    <x v="55"/>
    <d v="2025-03-01T00:00:00"/>
    <s v="M"/>
    <x v="4"/>
    <x v="1"/>
    <x v="0"/>
    <x v="21"/>
    <x v="5"/>
    <x v="8"/>
    <x v="1"/>
  </r>
  <r>
    <x v="1478"/>
    <x v="4"/>
    <x v="2"/>
    <n v="29.3"/>
    <x v="1205"/>
    <x v="55"/>
    <d v="2025-02-27T00:00:00"/>
    <s v="F"/>
    <x v="1"/>
    <x v="2"/>
    <x v="0"/>
    <x v="1"/>
    <x v="1"/>
    <x v="8"/>
    <x v="2"/>
  </r>
  <r>
    <x v="1479"/>
    <x v="2"/>
    <x v="1"/>
    <n v="125.9"/>
    <x v="1206"/>
    <x v="55"/>
    <d v="2025-03-02T00:00:00"/>
    <s v="F"/>
    <x v="4"/>
    <x v="1"/>
    <x v="0"/>
    <x v="1"/>
    <x v="0"/>
    <x v="8"/>
    <x v="2"/>
  </r>
  <r>
    <x v="1480"/>
    <x v="5"/>
    <x v="9"/>
    <n v="29.3"/>
    <x v="1207"/>
    <x v="55"/>
    <d v="2025-02-25T00:00:00"/>
    <s v="M"/>
    <x v="2"/>
    <x v="0"/>
    <x v="0"/>
    <x v="44"/>
    <x v="7"/>
    <x v="8"/>
    <x v="1"/>
  </r>
  <r>
    <x v="1481"/>
    <x v="9"/>
    <x v="0"/>
    <n v="37.799999999999997"/>
    <x v="463"/>
    <x v="55"/>
    <d v="2025-02-28T00:00:00"/>
    <s v="F"/>
    <x v="0"/>
    <x v="2"/>
    <x v="0"/>
    <x v="3"/>
    <x v="2"/>
    <x v="8"/>
    <x v="2"/>
  </r>
  <r>
    <x v="1482"/>
    <x v="0"/>
    <x v="12"/>
    <n v="31.7"/>
    <x v="1208"/>
    <x v="55"/>
    <d v="2025-02-26T00:00:00"/>
    <s v="M"/>
    <x v="2"/>
    <x v="2"/>
    <x v="0"/>
    <x v="3"/>
    <x v="3"/>
    <x v="8"/>
    <x v="1"/>
  </r>
  <r>
    <x v="1483"/>
    <x v="8"/>
    <x v="9"/>
    <n v="26.3"/>
    <x v="1209"/>
    <x v="55"/>
    <d v="2025-02-26T00:00:00"/>
    <s v="F"/>
    <x v="3"/>
    <x v="2"/>
    <x v="0"/>
    <x v="3"/>
    <x v="3"/>
    <x v="8"/>
    <x v="2"/>
  </r>
  <r>
    <x v="1484"/>
    <x v="8"/>
    <x v="2"/>
    <n v="23.1"/>
    <x v="59"/>
    <x v="55"/>
    <d v="2025-02-26T00:00:00"/>
    <s v="O"/>
    <x v="2"/>
    <x v="1"/>
    <x v="0"/>
    <x v="3"/>
    <x v="3"/>
    <x v="8"/>
    <x v="3"/>
  </r>
  <r>
    <x v="1485"/>
    <x v="4"/>
    <x v="0"/>
    <n v="22.3"/>
    <x v="968"/>
    <x v="55"/>
    <d v="2025-02-27T00:00:00"/>
    <s v="F"/>
    <x v="2"/>
    <x v="0"/>
    <x v="0"/>
    <x v="3"/>
    <x v="1"/>
    <x v="8"/>
    <x v="2"/>
  </r>
  <r>
    <x v="1486"/>
    <x v="12"/>
    <x v="1"/>
    <n v="99.5"/>
    <x v="1210"/>
    <x v="55"/>
    <d v="2025-02-27T00:00:00"/>
    <s v="F"/>
    <x v="2"/>
    <x v="0"/>
    <x v="0"/>
    <x v="3"/>
    <x v="1"/>
    <x v="8"/>
    <x v="2"/>
  </r>
  <r>
    <x v="1487"/>
    <x v="12"/>
    <x v="12"/>
    <n v="47.4"/>
    <x v="455"/>
    <x v="55"/>
    <d v="2025-02-28T00:00:00"/>
    <s v="F"/>
    <x v="1"/>
    <x v="0"/>
    <x v="0"/>
    <x v="3"/>
    <x v="2"/>
    <x v="8"/>
    <x v="2"/>
  </r>
  <r>
    <x v="1488"/>
    <x v="0"/>
    <x v="5"/>
    <n v="37.5"/>
    <x v="1211"/>
    <x v="55"/>
    <d v="2025-02-27T00:00:00"/>
    <s v="F"/>
    <x v="0"/>
    <x v="3"/>
    <x v="0"/>
    <x v="3"/>
    <x v="1"/>
    <x v="8"/>
    <x v="2"/>
  </r>
  <r>
    <x v="1489"/>
    <x v="10"/>
    <x v="0"/>
    <n v="45.1"/>
    <x v="1212"/>
    <x v="55"/>
    <d v="2025-03-02T00:00:00"/>
    <s v="M"/>
    <x v="3"/>
    <x v="2"/>
    <x v="0"/>
    <x v="24"/>
    <x v="0"/>
    <x v="8"/>
    <x v="1"/>
  </r>
  <r>
    <x v="1490"/>
    <x v="5"/>
    <x v="7"/>
    <n v="34.4"/>
    <x v="1213"/>
    <x v="55"/>
    <d v="2025-02-28T00:00:00"/>
    <s v="M"/>
    <x v="2"/>
    <x v="0"/>
    <x v="0"/>
    <x v="16"/>
    <x v="2"/>
    <x v="8"/>
    <x v="1"/>
  </r>
  <r>
    <x v="1491"/>
    <x v="4"/>
    <x v="1"/>
    <n v="38"/>
    <x v="998"/>
    <x v="55"/>
    <d v="2025-02-27T00:00:00"/>
    <s v="F"/>
    <x v="1"/>
    <x v="0"/>
    <x v="0"/>
    <x v="5"/>
    <x v="1"/>
    <x v="8"/>
    <x v="2"/>
  </r>
  <r>
    <x v="1492"/>
    <x v="3"/>
    <x v="21"/>
    <n v="32.4"/>
    <x v="1214"/>
    <x v="55"/>
    <d v="2025-02-28T00:00:00"/>
    <s v="M"/>
    <x v="4"/>
    <x v="0"/>
    <x v="0"/>
    <x v="6"/>
    <x v="2"/>
    <x v="8"/>
    <x v="1"/>
  </r>
  <r>
    <x v="1493"/>
    <x v="6"/>
    <x v="2"/>
    <n v="40.9"/>
    <x v="544"/>
    <x v="55"/>
    <d v="2025-02-25T00:00:00"/>
    <s v=""/>
    <x v="1"/>
    <x v="0"/>
    <x v="0"/>
    <x v="8"/>
    <x v="7"/>
    <x v="8"/>
    <x v="0"/>
  </r>
  <r>
    <x v="1494"/>
    <x v="7"/>
    <x v="3"/>
    <n v="76.2"/>
    <x v="1215"/>
    <x v="55"/>
    <d v="2025-02-27T00:00:00"/>
    <s v="F"/>
    <x v="2"/>
    <x v="1"/>
    <x v="0"/>
    <x v="8"/>
    <x v="1"/>
    <x v="8"/>
    <x v="2"/>
  </r>
  <r>
    <x v="1495"/>
    <x v="2"/>
    <x v="0"/>
    <n v="85.6"/>
    <x v="1216"/>
    <x v="55"/>
    <d v="2025-02-27T00:00:00"/>
    <s v="M"/>
    <x v="2"/>
    <x v="0"/>
    <x v="0"/>
    <x v="8"/>
    <x v="1"/>
    <x v="8"/>
    <x v="1"/>
  </r>
  <r>
    <x v="1496"/>
    <x v="4"/>
    <x v="12"/>
    <n v="25"/>
    <x v="1217"/>
    <x v="55"/>
    <d v="2025-02-27T00:00:00"/>
    <s v="F"/>
    <x v="2"/>
    <x v="2"/>
    <x v="0"/>
    <x v="8"/>
    <x v="1"/>
    <x v="8"/>
    <x v="2"/>
  </r>
  <r>
    <x v="1497"/>
    <x v="2"/>
    <x v="9"/>
    <n v="150.69999999999999"/>
    <x v="1218"/>
    <x v="55"/>
    <d v="2025-02-26T00:00:00"/>
    <s v=""/>
    <x v="0"/>
    <x v="2"/>
    <x v="0"/>
    <x v="8"/>
    <x v="3"/>
    <x v="8"/>
    <x v="0"/>
  </r>
  <r>
    <x v="1498"/>
    <x v="8"/>
    <x v="0"/>
    <n v="19.600000000000001"/>
    <x v="1219"/>
    <x v="55"/>
    <d v="2025-02-26T00:00:00"/>
    <s v="M"/>
    <x v="1"/>
    <x v="4"/>
    <x v="0"/>
    <x v="8"/>
    <x v="3"/>
    <x v="8"/>
    <x v="1"/>
  </r>
  <r>
    <x v="1499"/>
    <x v="13"/>
    <x v="1"/>
    <n v="37.5"/>
    <x v="611"/>
    <x v="55"/>
    <d v="2025-02-28T00:00:00"/>
    <s v="F"/>
    <x v="1"/>
    <x v="2"/>
    <x v="0"/>
    <x v="17"/>
    <x v="2"/>
    <x v="8"/>
    <x v="2"/>
  </r>
  <r>
    <x v="1500"/>
    <x v="9"/>
    <x v="2"/>
    <n v="51.9"/>
    <x v="515"/>
    <x v="55"/>
    <d v="2025-03-03T00:00:00"/>
    <s v="F"/>
    <x v="0"/>
    <x v="4"/>
    <x v="0"/>
    <x v="11"/>
    <x v="4"/>
    <x v="8"/>
    <x v="2"/>
  </r>
  <r>
    <x v="1501"/>
    <x v="1"/>
    <x v="1"/>
    <n v="30.9"/>
    <x v="546"/>
    <x v="55"/>
    <d v="2025-02-27T00:00:00"/>
    <s v="F"/>
    <x v="1"/>
    <x v="0"/>
    <x v="0"/>
    <x v="18"/>
    <x v="1"/>
    <x v="8"/>
    <x v="2"/>
  </r>
  <r>
    <x v="1502"/>
    <x v="4"/>
    <x v="2"/>
    <n v="21.2"/>
    <x v="1220"/>
    <x v="55"/>
    <d v="2025-02-28T00:00:00"/>
    <s v="F"/>
    <x v="1"/>
    <x v="0"/>
    <x v="0"/>
    <x v="19"/>
    <x v="2"/>
    <x v="8"/>
    <x v="2"/>
  </r>
  <r>
    <x v="1503"/>
    <x v="13"/>
    <x v="14"/>
    <n v="17.5"/>
    <x v="1221"/>
    <x v="55"/>
    <d v="2025-02-26T00:00:00"/>
    <s v="M"/>
    <x v="1"/>
    <x v="1"/>
    <x v="0"/>
    <x v="13"/>
    <x v="3"/>
    <x v="8"/>
    <x v="1"/>
  </r>
  <r>
    <x v="1504"/>
    <x v="12"/>
    <x v="1"/>
    <n v="53.8"/>
    <x v="799"/>
    <x v="55"/>
    <d v="2025-03-02T00:00:00"/>
    <s v="F"/>
    <x v="0"/>
    <x v="2"/>
    <x v="0"/>
    <x v="21"/>
    <x v="0"/>
    <x v="8"/>
    <x v="2"/>
  </r>
  <r>
    <x v="1505"/>
    <x v="19"/>
    <x v="1"/>
    <n v="17"/>
    <x v="1222"/>
    <x v="55"/>
    <d v="2025-02-26T00:00:00"/>
    <s v="M"/>
    <x v="3"/>
    <x v="0"/>
    <x v="0"/>
    <x v="21"/>
    <x v="3"/>
    <x v="8"/>
    <x v="1"/>
  </r>
  <r>
    <x v="1506"/>
    <x v="6"/>
    <x v="0"/>
    <n v="103.2"/>
    <x v="1223"/>
    <x v="55"/>
    <d v="2025-03-05T00:00:00"/>
    <s v="M"/>
    <x v="2"/>
    <x v="1"/>
    <x v="0"/>
    <x v="1"/>
    <x v="9"/>
    <x v="8"/>
    <x v="1"/>
  </r>
  <r>
    <x v="1507"/>
    <x v="6"/>
    <x v="12"/>
    <n v="70.3"/>
    <x v="552"/>
    <x v="55"/>
    <d v="2025-02-26T00:00:00"/>
    <s v="M"/>
    <x v="0"/>
    <x v="0"/>
    <x v="0"/>
    <x v="3"/>
    <x v="3"/>
    <x v="8"/>
    <x v="1"/>
  </r>
  <r>
    <x v="1508"/>
    <x v="2"/>
    <x v="1"/>
    <n v="73.8"/>
    <x v="1224"/>
    <x v="55"/>
    <d v="2025-02-25T00:00:00"/>
    <s v="M"/>
    <x v="3"/>
    <x v="2"/>
    <x v="0"/>
    <x v="3"/>
    <x v="7"/>
    <x v="8"/>
    <x v="1"/>
  </r>
  <r>
    <x v="1509"/>
    <x v="1"/>
    <x v="4"/>
    <n v="67.7"/>
    <x v="1225"/>
    <x v="55"/>
    <d v="2025-03-01T00:00:00"/>
    <s v="M"/>
    <x v="1"/>
    <x v="1"/>
    <x v="0"/>
    <x v="3"/>
    <x v="5"/>
    <x v="8"/>
    <x v="1"/>
  </r>
  <r>
    <x v="1510"/>
    <x v="13"/>
    <x v="3"/>
    <n v="43.8"/>
    <x v="1226"/>
    <x v="55"/>
    <d v="2025-02-27T00:00:00"/>
    <s v="M"/>
    <x v="1"/>
    <x v="0"/>
    <x v="0"/>
    <x v="3"/>
    <x v="1"/>
    <x v="8"/>
    <x v="1"/>
  </r>
  <r>
    <x v="1511"/>
    <x v="17"/>
    <x v="13"/>
    <n v="71.900000000000006"/>
    <x v="1227"/>
    <x v="55"/>
    <d v="2025-02-26T00:00:00"/>
    <s v="F"/>
    <x v="2"/>
    <x v="0"/>
    <x v="0"/>
    <x v="3"/>
    <x v="3"/>
    <x v="8"/>
    <x v="2"/>
  </r>
  <r>
    <x v="1512"/>
    <x v="8"/>
    <x v="1"/>
    <n v="26.3"/>
    <x v="1228"/>
    <x v="56"/>
    <d v="2025-02-28T00:00:00"/>
    <s v="F"/>
    <x v="0"/>
    <x v="1"/>
    <x v="0"/>
    <x v="3"/>
    <x v="1"/>
    <x v="8"/>
    <x v="2"/>
  </r>
  <r>
    <x v="1513"/>
    <x v="6"/>
    <x v="12"/>
    <n v="52.6"/>
    <x v="138"/>
    <x v="56"/>
    <d v="2025-02-28T00:00:00"/>
    <s v="F"/>
    <x v="2"/>
    <x v="1"/>
    <x v="0"/>
    <x v="3"/>
    <x v="1"/>
    <x v="8"/>
    <x v="2"/>
  </r>
  <r>
    <x v="1514"/>
    <x v="10"/>
    <x v="0"/>
    <n v="32.700000000000003"/>
    <x v="1229"/>
    <x v="56"/>
    <d v="2025-03-05T00:00:00"/>
    <s v="F"/>
    <x v="0"/>
    <x v="2"/>
    <x v="0"/>
    <x v="3"/>
    <x v="6"/>
    <x v="8"/>
    <x v="2"/>
  </r>
  <r>
    <x v="1515"/>
    <x v="5"/>
    <x v="12"/>
    <n v="38.9"/>
    <x v="1230"/>
    <x v="56"/>
    <d v="2025-02-27T00:00:00"/>
    <s v="F"/>
    <x v="0"/>
    <x v="0"/>
    <x v="0"/>
    <x v="3"/>
    <x v="3"/>
    <x v="8"/>
    <x v="2"/>
  </r>
  <r>
    <x v="1516"/>
    <x v="9"/>
    <x v="9"/>
    <n v="35"/>
    <x v="25"/>
    <x v="56"/>
    <d v="2025-02-28T00:00:00"/>
    <s v="M"/>
    <x v="0"/>
    <x v="0"/>
    <x v="0"/>
    <x v="3"/>
    <x v="1"/>
    <x v="8"/>
    <x v="1"/>
  </r>
  <r>
    <x v="1517"/>
    <x v="2"/>
    <x v="1"/>
    <n v="121"/>
    <x v="1231"/>
    <x v="56"/>
    <d v="2025-02-27T00:00:00"/>
    <s v="F"/>
    <x v="1"/>
    <x v="1"/>
    <x v="0"/>
    <x v="3"/>
    <x v="3"/>
    <x v="8"/>
    <x v="2"/>
  </r>
  <r>
    <x v="1518"/>
    <x v="6"/>
    <x v="2"/>
    <n v="65.099999999999994"/>
    <x v="1174"/>
    <x v="56"/>
    <d v="2025-03-02T00:00:00"/>
    <s v="M"/>
    <x v="2"/>
    <x v="0"/>
    <x v="0"/>
    <x v="36"/>
    <x v="5"/>
    <x v="8"/>
    <x v="1"/>
  </r>
  <r>
    <x v="1519"/>
    <x v="1"/>
    <x v="38"/>
    <n v="63.8"/>
    <x v="1232"/>
    <x v="56"/>
    <d v="2025-02-28T00:00:00"/>
    <s v="F"/>
    <x v="0"/>
    <x v="0"/>
    <x v="0"/>
    <x v="8"/>
    <x v="1"/>
    <x v="8"/>
    <x v="2"/>
  </r>
  <r>
    <x v="1520"/>
    <x v="7"/>
    <x v="0"/>
    <n v="77.7"/>
    <x v="1233"/>
    <x v="56"/>
    <d v="2025-02-28T00:00:00"/>
    <s v="M"/>
    <x v="0"/>
    <x v="0"/>
    <x v="0"/>
    <x v="8"/>
    <x v="1"/>
    <x v="8"/>
    <x v="1"/>
  </r>
  <r>
    <x v="1521"/>
    <x v="5"/>
    <x v="12"/>
    <n v="60.3"/>
    <x v="1234"/>
    <x v="56"/>
    <d v="2025-02-26T00:00:00"/>
    <s v="M"/>
    <x v="0"/>
    <x v="2"/>
    <x v="0"/>
    <x v="8"/>
    <x v="7"/>
    <x v="8"/>
    <x v="1"/>
  </r>
  <r>
    <x v="1522"/>
    <x v="5"/>
    <x v="1"/>
    <n v="124.1"/>
    <x v="1235"/>
    <x v="56"/>
    <d v="2025-03-01T00:00:00"/>
    <s v="F"/>
    <x v="0"/>
    <x v="2"/>
    <x v="0"/>
    <x v="8"/>
    <x v="2"/>
    <x v="8"/>
    <x v="2"/>
  </r>
  <r>
    <x v="1523"/>
    <x v="16"/>
    <x v="3"/>
    <n v="66"/>
    <x v="1236"/>
    <x v="56"/>
    <d v="2025-02-26T00:00:00"/>
    <s v=""/>
    <x v="3"/>
    <x v="0"/>
    <x v="0"/>
    <x v="17"/>
    <x v="7"/>
    <x v="8"/>
    <x v="0"/>
  </r>
  <r>
    <x v="1524"/>
    <x v="2"/>
    <x v="42"/>
    <n v="118.2"/>
    <x v="1237"/>
    <x v="56"/>
    <d v="2025-03-03T00:00:00"/>
    <s v=""/>
    <x v="0"/>
    <x v="0"/>
    <x v="0"/>
    <x v="17"/>
    <x v="0"/>
    <x v="8"/>
    <x v="0"/>
  </r>
  <r>
    <x v="1525"/>
    <x v="5"/>
    <x v="9"/>
    <n v="64.3"/>
    <x v="1238"/>
    <x v="56"/>
    <d v="2025-02-27T00:00:00"/>
    <s v="M"/>
    <x v="4"/>
    <x v="4"/>
    <x v="0"/>
    <x v="26"/>
    <x v="3"/>
    <x v="8"/>
    <x v="1"/>
  </r>
  <r>
    <x v="1526"/>
    <x v="1"/>
    <x v="1"/>
    <n v="54.8"/>
    <x v="1239"/>
    <x v="56"/>
    <d v="2025-02-26T00:00:00"/>
    <s v="M"/>
    <x v="0"/>
    <x v="1"/>
    <x v="0"/>
    <x v="26"/>
    <x v="7"/>
    <x v="8"/>
    <x v="1"/>
  </r>
  <r>
    <x v="1527"/>
    <x v="7"/>
    <x v="1"/>
    <n v="78.599999999999994"/>
    <x v="507"/>
    <x v="56"/>
    <d v="2025-02-27T00:00:00"/>
    <s v="M"/>
    <x v="0"/>
    <x v="2"/>
    <x v="0"/>
    <x v="9"/>
    <x v="3"/>
    <x v="8"/>
    <x v="1"/>
  </r>
  <r>
    <x v="1528"/>
    <x v="2"/>
    <x v="9"/>
    <n v="158.5"/>
    <x v="1240"/>
    <x v="56"/>
    <d v="2025-02-28T00:00:00"/>
    <s v=""/>
    <x v="2"/>
    <x v="2"/>
    <x v="0"/>
    <x v="9"/>
    <x v="1"/>
    <x v="8"/>
    <x v="0"/>
  </r>
  <r>
    <x v="1529"/>
    <x v="4"/>
    <x v="7"/>
    <n v="23.5"/>
    <x v="666"/>
    <x v="56"/>
    <d v="2025-03-01T00:00:00"/>
    <s v="M"/>
    <x v="0"/>
    <x v="4"/>
    <x v="0"/>
    <x v="10"/>
    <x v="2"/>
    <x v="8"/>
    <x v="1"/>
  </r>
  <r>
    <x v="1530"/>
    <x v="5"/>
    <x v="1"/>
    <n v="32.1"/>
    <x v="1005"/>
    <x v="56"/>
    <d v="2025-02-28T00:00:00"/>
    <s v=""/>
    <x v="3"/>
    <x v="0"/>
    <x v="0"/>
    <x v="10"/>
    <x v="1"/>
    <x v="8"/>
    <x v="0"/>
  </r>
  <r>
    <x v="1531"/>
    <x v="17"/>
    <x v="12"/>
    <n v="71.900000000000006"/>
    <x v="1241"/>
    <x v="56"/>
    <d v="2025-02-26T00:00:00"/>
    <s v="M"/>
    <x v="2"/>
    <x v="0"/>
    <x v="0"/>
    <x v="19"/>
    <x v="7"/>
    <x v="8"/>
    <x v="1"/>
  </r>
  <r>
    <x v="1532"/>
    <x v="4"/>
    <x v="13"/>
    <n v="22.3"/>
    <x v="981"/>
    <x v="56"/>
    <d v="2025-02-27T00:00:00"/>
    <s v=""/>
    <x v="3"/>
    <x v="2"/>
    <x v="0"/>
    <x v="13"/>
    <x v="3"/>
    <x v="8"/>
    <x v="0"/>
  </r>
  <r>
    <x v="1533"/>
    <x v="11"/>
    <x v="1"/>
    <n v="29.5"/>
    <x v="1242"/>
    <x v="56"/>
    <d v="2025-02-27T00:00:00"/>
    <s v="F"/>
    <x v="0"/>
    <x v="2"/>
    <x v="0"/>
    <x v="13"/>
    <x v="3"/>
    <x v="8"/>
    <x v="2"/>
  </r>
  <r>
    <x v="1534"/>
    <x v="6"/>
    <x v="12"/>
    <n v="41.9"/>
    <x v="1243"/>
    <x v="56"/>
    <d v="2025-03-02T00:00:00"/>
    <s v="F"/>
    <x v="0"/>
    <x v="1"/>
    <x v="0"/>
    <x v="21"/>
    <x v="5"/>
    <x v="8"/>
    <x v="2"/>
  </r>
  <r>
    <x v="1535"/>
    <x v="6"/>
    <x v="2"/>
    <n v="107.8"/>
    <x v="1244"/>
    <x v="56"/>
    <d v="2025-02-27T00:00:00"/>
    <s v="M"/>
    <x v="1"/>
    <x v="2"/>
    <x v="0"/>
    <x v="46"/>
    <x v="3"/>
    <x v="8"/>
    <x v="1"/>
  </r>
  <r>
    <x v="1536"/>
    <x v="4"/>
    <x v="9"/>
    <n v="18.100000000000001"/>
    <x v="497"/>
    <x v="56"/>
    <d v="2025-03-01T00:00:00"/>
    <s v="M"/>
    <x v="0"/>
    <x v="2"/>
    <x v="0"/>
    <x v="2"/>
    <x v="2"/>
    <x v="8"/>
    <x v="1"/>
  </r>
  <r>
    <x v="1537"/>
    <x v="12"/>
    <x v="11"/>
    <n v="79.8"/>
    <x v="1245"/>
    <x v="56"/>
    <d v="2025-02-27T00:00:00"/>
    <s v="F"/>
    <x v="1"/>
    <x v="1"/>
    <x v="0"/>
    <x v="22"/>
    <x v="3"/>
    <x v="8"/>
    <x v="2"/>
  </r>
  <r>
    <x v="1538"/>
    <x v="0"/>
    <x v="2"/>
    <n v="22.3"/>
    <x v="884"/>
    <x v="56"/>
    <d v="2025-03-01T00:00:00"/>
    <s v="F"/>
    <x v="0"/>
    <x v="2"/>
    <x v="0"/>
    <x v="22"/>
    <x v="2"/>
    <x v="8"/>
    <x v="2"/>
  </r>
  <r>
    <x v="1539"/>
    <x v="8"/>
    <x v="0"/>
    <n v="22.9"/>
    <x v="1246"/>
    <x v="56"/>
    <d v="2025-02-26T00:00:00"/>
    <s v="F"/>
    <x v="1"/>
    <x v="0"/>
    <x v="0"/>
    <x v="22"/>
    <x v="7"/>
    <x v="8"/>
    <x v="2"/>
  </r>
  <r>
    <x v="1540"/>
    <x v="0"/>
    <x v="2"/>
    <n v="16.2"/>
    <x v="1247"/>
    <x v="57"/>
    <d v="2025-02-27T00:00:00"/>
    <s v="M"/>
    <x v="4"/>
    <x v="2"/>
    <x v="0"/>
    <x v="3"/>
    <x v="7"/>
    <x v="8"/>
    <x v="1"/>
  </r>
  <r>
    <x v="1541"/>
    <x v="10"/>
    <x v="12"/>
    <n v="59.5"/>
    <x v="1248"/>
    <x v="57"/>
    <d v="2025-02-28T00:00:00"/>
    <s v="M"/>
    <x v="1"/>
    <x v="2"/>
    <x v="0"/>
    <x v="3"/>
    <x v="3"/>
    <x v="8"/>
    <x v="1"/>
  </r>
  <r>
    <x v="1542"/>
    <x v="18"/>
    <x v="9"/>
    <n v="26.2"/>
    <x v="1249"/>
    <x v="57"/>
    <d v="2025-03-02T00:00:00"/>
    <s v="M"/>
    <x v="3"/>
    <x v="4"/>
    <x v="0"/>
    <x v="3"/>
    <x v="2"/>
    <x v="8"/>
    <x v="1"/>
  </r>
  <r>
    <x v="1543"/>
    <x v="3"/>
    <x v="0"/>
    <n v="44.2"/>
    <x v="573"/>
    <x v="57"/>
    <d v="2025-03-02T00:00:00"/>
    <s v="F"/>
    <x v="1"/>
    <x v="0"/>
    <x v="0"/>
    <x v="3"/>
    <x v="2"/>
    <x v="8"/>
    <x v="2"/>
  </r>
  <r>
    <x v="1544"/>
    <x v="9"/>
    <x v="1"/>
    <n v="59.2"/>
    <x v="1250"/>
    <x v="57"/>
    <d v="2025-02-27T00:00:00"/>
    <s v="F"/>
    <x v="1"/>
    <x v="4"/>
    <x v="0"/>
    <x v="3"/>
    <x v="7"/>
    <x v="8"/>
    <x v="2"/>
  </r>
  <r>
    <x v="1545"/>
    <x v="15"/>
    <x v="12"/>
    <n v="41.5"/>
    <x v="1251"/>
    <x v="57"/>
    <d v="2025-03-01T00:00:00"/>
    <s v="F"/>
    <x v="0"/>
    <x v="0"/>
    <x v="0"/>
    <x v="16"/>
    <x v="1"/>
    <x v="8"/>
    <x v="2"/>
  </r>
  <r>
    <x v="1546"/>
    <x v="6"/>
    <x v="4"/>
    <n v="67.099999999999994"/>
    <x v="1252"/>
    <x v="57"/>
    <d v="2025-03-13T00:00:00"/>
    <s v="F"/>
    <x v="0"/>
    <x v="2"/>
    <x v="0"/>
    <x v="23"/>
    <x v="12"/>
    <x v="8"/>
    <x v="2"/>
  </r>
  <r>
    <x v="1547"/>
    <x v="8"/>
    <x v="1"/>
    <n v="28.7"/>
    <x v="1253"/>
    <x v="57"/>
    <d v="2025-03-03T00:00:00"/>
    <s v="F"/>
    <x v="1"/>
    <x v="0"/>
    <x v="0"/>
    <x v="6"/>
    <x v="5"/>
    <x v="8"/>
    <x v="2"/>
  </r>
  <r>
    <x v="1548"/>
    <x v="2"/>
    <x v="12"/>
    <n v="132.1"/>
    <x v="1254"/>
    <x v="57"/>
    <d v="2025-02-28T00:00:00"/>
    <s v="F"/>
    <x v="0"/>
    <x v="1"/>
    <x v="0"/>
    <x v="6"/>
    <x v="3"/>
    <x v="8"/>
    <x v="2"/>
  </r>
  <r>
    <x v="1549"/>
    <x v="18"/>
    <x v="1"/>
    <n v="47"/>
    <x v="255"/>
    <x v="57"/>
    <d v="2025-03-01T00:00:00"/>
    <s v="M"/>
    <x v="4"/>
    <x v="0"/>
    <x v="0"/>
    <x v="8"/>
    <x v="1"/>
    <x v="8"/>
    <x v="1"/>
  </r>
  <r>
    <x v="1550"/>
    <x v="8"/>
    <x v="1"/>
    <n v="41.6"/>
    <x v="707"/>
    <x v="57"/>
    <d v="2025-03-03T00:00:00"/>
    <s v="M"/>
    <x v="1"/>
    <x v="2"/>
    <x v="0"/>
    <x v="8"/>
    <x v="5"/>
    <x v="8"/>
    <x v="1"/>
  </r>
  <r>
    <x v="1551"/>
    <x v="8"/>
    <x v="43"/>
    <n v="17.3"/>
    <x v="1255"/>
    <x v="57"/>
    <d v="2025-03-01T00:00:00"/>
    <s v="M"/>
    <x v="2"/>
    <x v="2"/>
    <x v="0"/>
    <x v="8"/>
    <x v="1"/>
    <x v="8"/>
    <x v="1"/>
  </r>
  <r>
    <x v="1552"/>
    <x v="13"/>
    <x v="2"/>
    <n v="41.8"/>
    <x v="352"/>
    <x v="57"/>
    <d v="2025-03-02T00:00:00"/>
    <s v="M"/>
    <x v="0"/>
    <x v="2"/>
    <x v="0"/>
    <x v="8"/>
    <x v="2"/>
    <x v="8"/>
    <x v="1"/>
  </r>
  <r>
    <x v="1553"/>
    <x v="10"/>
    <x v="0"/>
    <n v="24"/>
    <x v="835"/>
    <x v="57"/>
    <d v="2025-02-28T00:00:00"/>
    <s v="F"/>
    <x v="0"/>
    <x v="0"/>
    <x v="0"/>
    <x v="17"/>
    <x v="3"/>
    <x v="8"/>
    <x v="2"/>
  </r>
  <r>
    <x v="1554"/>
    <x v="14"/>
    <x v="11"/>
    <n v="18.5"/>
    <x v="1256"/>
    <x v="57"/>
    <d v="2025-03-01T00:00:00"/>
    <s v="F"/>
    <x v="0"/>
    <x v="0"/>
    <x v="0"/>
    <x v="9"/>
    <x v="1"/>
    <x v="8"/>
    <x v="2"/>
  </r>
  <r>
    <x v="1555"/>
    <x v="3"/>
    <x v="4"/>
    <n v="66.7"/>
    <x v="1257"/>
    <x v="57"/>
    <d v="2025-03-02T00:00:00"/>
    <s v=""/>
    <x v="0"/>
    <x v="2"/>
    <x v="0"/>
    <x v="11"/>
    <x v="2"/>
    <x v="8"/>
    <x v="0"/>
  </r>
  <r>
    <x v="1556"/>
    <x v="1"/>
    <x v="12"/>
    <n v="33.1"/>
    <x v="979"/>
    <x v="57"/>
    <d v="2025-03-04T00:00:00"/>
    <s v="M"/>
    <x v="3"/>
    <x v="0"/>
    <x v="0"/>
    <x v="11"/>
    <x v="0"/>
    <x v="8"/>
    <x v="1"/>
  </r>
  <r>
    <x v="1557"/>
    <x v="19"/>
    <x v="11"/>
    <n v="42.1"/>
    <x v="1258"/>
    <x v="57"/>
    <d v="2025-03-10T00:00:00"/>
    <s v="M"/>
    <x v="1"/>
    <x v="0"/>
    <x v="0"/>
    <x v="18"/>
    <x v="11"/>
    <x v="8"/>
    <x v="1"/>
  </r>
  <r>
    <x v="1558"/>
    <x v="18"/>
    <x v="3"/>
    <n v="58.7"/>
    <x v="1259"/>
    <x v="57"/>
    <d v="2025-02-27T00:00:00"/>
    <s v="O"/>
    <x v="3"/>
    <x v="0"/>
    <x v="0"/>
    <x v="31"/>
    <x v="7"/>
    <x v="8"/>
    <x v="3"/>
  </r>
  <r>
    <x v="1559"/>
    <x v="6"/>
    <x v="12"/>
    <n v="54"/>
    <x v="760"/>
    <x v="57"/>
    <d v="2025-03-01T00:00:00"/>
    <s v="F"/>
    <x v="1"/>
    <x v="0"/>
    <x v="0"/>
    <x v="1"/>
    <x v="1"/>
    <x v="8"/>
    <x v="2"/>
  </r>
  <r>
    <x v="1560"/>
    <x v="8"/>
    <x v="0"/>
    <n v="52.1"/>
    <x v="475"/>
    <x v="57"/>
    <d v="2025-02-28T00:00:00"/>
    <s v="F"/>
    <x v="2"/>
    <x v="2"/>
    <x v="0"/>
    <x v="2"/>
    <x v="3"/>
    <x v="8"/>
    <x v="2"/>
  </r>
  <r>
    <x v="1561"/>
    <x v="19"/>
    <x v="1"/>
    <n v="27"/>
    <x v="1260"/>
    <x v="57"/>
    <d v="2025-03-02T00:00:00"/>
    <s v="O"/>
    <x v="2"/>
    <x v="0"/>
    <x v="0"/>
    <x v="22"/>
    <x v="2"/>
    <x v="8"/>
    <x v="3"/>
  </r>
  <r>
    <x v="1562"/>
    <x v="12"/>
    <x v="7"/>
    <n v="31"/>
    <x v="892"/>
    <x v="58"/>
    <d v="2025-03-01T00:00:00"/>
    <s v="F"/>
    <x v="3"/>
    <x v="2"/>
    <x v="0"/>
    <x v="22"/>
    <x v="3"/>
    <x v="8"/>
    <x v="2"/>
  </r>
  <r>
    <x v="1563"/>
    <x v="10"/>
    <x v="1"/>
    <n v="46.7"/>
    <x v="1261"/>
    <x v="58"/>
    <d v="2025-02-28T00:00:00"/>
    <s v="F"/>
    <x v="0"/>
    <x v="0"/>
    <x v="0"/>
    <x v="34"/>
    <x v="7"/>
    <x v="8"/>
    <x v="2"/>
  </r>
  <r>
    <x v="1564"/>
    <x v="6"/>
    <x v="0"/>
    <n v="144.69999999999999"/>
    <x v="1262"/>
    <x v="58"/>
    <d v="2025-03-03T00:00:00"/>
    <s v="M"/>
    <x v="0"/>
    <x v="2"/>
    <x v="0"/>
    <x v="3"/>
    <x v="2"/>
    <x v="8"/>
    <x v="1"/>
  </r>
  <r>
    <x v="1565"/>
    <x v="2"/>
    <x v="11"/>
    <n v="90.9"/>
    <x v="1263"/>
    <x v="58"/>
    <d v="2025-03-01T00:00:00"/>
    <s v="M"/>
    <x v="0"/>
    <x v="2"/>
    <x v="0"/>
    <x v="3"/>
    <x v="3"/>
    <x v="8"/>
    <x v="1"/>
  </r>
  <r>
    <x v="1566"/>
    <x v="1"/>
    <x v="1"/>
    <n v="75.8"/>
    <x v="318"/>
    <x v="58"/>
    <d v="2025-03-01T00:00:00"/>
    <s v="F"/>
    <x v="2"/>
    <x v="1"/>
    <x v="0"/>
    <x v="3"/>
    <x v="3"/>
    <x v="8"/>
    <x v="2"/>
  </r>
  <r>
    <x v="1567"/>
    <x v="7"/>
    <x v="9"/>
    <n v="57.9"/>
    <x v="1264"/>
    <x v="58"/>
    <d v="2025-03-02T00:00:00"/>
    <s v="M"/>
    <x v="2"/>
    <x v="2"/>
    <x v="0"/>
    <x v="3"/>
    <x v="1"/>
    <x v="8"/>
    <x v="1"/>
  </r>
  <r>
    <x v="1568"/>
    <x v="8"/>
    <x v="9"/>
    <n v="44.8"/>
    <x v="692"/>
    <x v="58"/>
    <d v="2025-03-01T00:00:00"/>
    <s v="F"/>
    <x v="3"/>
    <x v="2"/>
    <x v="0"/>
    <x v="3"/>
    <x v="3"/>
    <x v="8"/>
    <x v="2"/>
  </r>
  <r>
    <x v="1569"/>
    <x v="9"/>
    <x v="2"/>
    <n v="44.2"/>
    <x v="1265"/>
    <x v="58"/>
    <d v="2025-03-04T00:00:00"/>
    <s v="M"/>
    <x v="2"/>
    <x v="2"/>
    <x v="0"/>
    <x v="3"/>
    <x v="5"/>
    <x v="8"/>
    <x v="1"/>
  </r>
  <r>
    <x v="1570"/>
    <x v="5"/>
    <x v="9"/>
    <n v="53.5"/>
    <x v="1266"/>
    <x v="58"/>
    <d v="2025-03-02T00:00:00"/>
    <s v="M"/>
    <x v="0"/>
    <x v="0"/>
    <x v="0"/>
    <x v="37"/>
    <x v="1"/>
    <x v="8"/>
    <x v="1"/>
  </r>
  <r>
    <x v="1571"/>
    <x v="6"/>
    <x v="1"/>
    <n v="72.2"/>
    <x v="613"/>
    <x v="58"/>
    <d v="2025-03-01T00:00:00"/>
    <s v="M"/>
    <x v="0"/>
    <x v="2"/>
    <x v="0"/>
    <x v="25"/>
    <x v="3"/>
    <x v="8"/>
    <x v="1"/>
  </r>
  <r>
    <x v="1572"/>
    <x v="6"/>
    <x v="12"/>
    <n v="62.4"/>
    <x v="1267"/>
    <x v="58"/>
    <d v="2025-03-03T00:00:00"/>
    <s v="F"/>
    <x v="0"/>
    <x v="1"/>
    <x v="0"/>
    <x v="23"/>
    <x v="2"/>
    <x v="8"/>
    <x v="2"/>
  </r>
  <r>
    <x v="1573"/>
    <x v="10"/>
    <x v="9"/>
    <n v="24.7"/>
    <x v="1268"/>
    <x v="58"/>
    <d v="2025-03-01T00:00:00"/>
    <s v="F"/>
    <x v="0"/>
    <x v="0"/>
    <x v="0"/>
    <x v="6"/>
    <x v="3"/>
    <x v="8"/>
    <x v="2"/>
  </r>
  <r>
    <x v="1574"/>
    <x v="1"/>
    <x v="9"/>
    <n v="61.7"/>
    <x v="1269"/>
    <x v="58"/>
    <d v="2025-03-02T00:00:00"/>
    <s v="F"/>
    <x v="2"/>
    <x v="0"/>
    <x v="0"/>
    <x v="8"/>
    <x v="1"/>
    <x v="8"/>
    <x v="2"/>
  </r>
  <r>
    <x v="1575"/>
    <x v="8"/>
    <x v="9"/>
    <n v="18.2"/>
    <x v="1270"/>
    <x v="58"/>
    <d v="2025-03-02T00:00:00"/>
    <s v="F"/>
    <x v="3"/>
    <x v="0"/>
    <x v="0"/>
    <x v="8"/>
    <x v="1"/>
    <x v="8"/>
    <x v="2"/>
  </r>
  <r>
    <x v="1576"/>
    <x v="10"/>
    <x v="12"/>
    <n v="37.200000000000003"/>
    <x v="956"/>
    <x v="58"/>
    <d v="2025-03-06T00:00:00"/>
    <s v="F"/>
    <x v="0"/>
    <x v="0"/>
    <x v="0"/>
    <x v="8"/>
    <x v="4"/>
    <x v="8"/>
    <x v="2"/>
  </r>
  <r>
    <x v="1577"/>
    <x v="9"/>
    <x v="2"/>
    <n v="53.5"/>
    <x v="1271"/>
    <x v="58"/>
    <d v="2025-03-02T00:00:00"/>
    <s v="F"/>
    <x v="1"/>
    <x v="2"/>
    <x v="0"/>
    <x v="9"/>
    <x v="1"/>
    <x v="8"/>
    <x v="2"/>
  </r>
  <r>
    <x v="1578"/>
    <x v="8"/>
    <x v="2"/>
    <n v="43.6"/>
    <x v="1272"/>
    <x v="58"/>
    <d v="2025-02-28T00:00:00"/>
    <s v="F"/>
    <x v="0"/>
    <x v="0"/>
    <x v="0"/>
    <x v="9"/>
    <x v="7"/>
    <x v="8"/>
    <x v="2"/>
  </r>
  <r>
    <x v="1579"/>
    <x v="1"/>
    <x v="7"/>
    <n v="135"/>
    <x v="1273"/>
    <x v="58"/>
    <d v="2025-03-02T00:00:00"/>
    <s v="F"/>
    <x v="0"/>
    <x v="2"/>
    <x v="0"/>
    <x v="9"/>
    <x v="1"/>
    <x v="8"/>
    <x v="2"/>
  </r>
  <r>
    <x v="1580"/>
    <x v="8"/>
    <x v="9"/>
    <n v="38.5"/>
    <x v="796"/>
    <x v="58"/>
    <d v="2025-02-28T00:00:00"/>
    <s v="M"/>
    <x v="4"/>
    <x v="2"/>
    <x v="0"/>
    <x v="10"/>
    <x v="7"/>
    <x v="8"/>
    <x v="1"/>
  </r>
  <r>
    <x v="1581"/>
    <x v="9"/>
    <x v="1"/>
    <n v="24"/>
    <x v="510"/>
    <x v="58"/>
    <d v="2025-03-05T00:00:00"/>
    <s v="F"/>
    <x v="0"/>
    <x v="0"/>
    <x v="0"/>
    <x v="11"/>
    <x v="0"/>
    <x v="8"/>
    <x v="2"/>
  </r>
  <r>
    <x v="1582"/>
    <x v="4"/>
    <x v="2"/>
    <n v="28.2"/>
    <x v="1274"/>
    <x v="58"/>
    <d v="2025-03-02T00:00:00"/>
    <s v="M"/>
    <x v="0"/>
    <x v="3"/>
    <x v="0"/>
    <x v="18"/>
    <x v="1"/>
    <x v="8"/>
    <x v="1"/>
  </r>
  <r>
    <x v="1583"/>
    <x v="7"/>
    <x v="2"/>
    <n v="37.4"/>
    <x v="794"/>
    <x v="58"/>
    <d v="2025-03-01T00:00:00"/>
    <s v="F"/>
    <x v="3"/>
    <x v="0"/>
    <x v="0"/>
    <x v="1"/>
    <x v="3"/>
    <x v="8"/>
    <x v="2"/>
  </r>
  <r>
    <x v="1584"/>
    <x v="6"/>
    <x v="2"/>
    <n v="53.5"/>
    <x v="1271"/>
    <x v="58"/>
    <d v="2025-03-03T00:00:00"/>
    <s v=""/>
    <x v="4"/>
    <x v="4"/>
    <x v="0"/>
    <x v="1"/>
    <x v="2"/>
    <x v="8"/>
    <x v="0"/>
  </r>
  <r>
    <x v="1585"/>
    <x v="11"/>
    <x v="9"/>
    <n v="36.200000000000003"/>
    <x v="1275"/>
    <x v="58"/>
    <d v="2025-03-01T00:00:00"/>
    <s v="M"/>
    <x v="1"/>
    <x v="2"/>
    <x v="0"/>
    <x v="33"/>
    <x v="3"/>
    <x v="8"/>
    <x v="1"/>
  </r>
  <r>
    <x v="1586"/>
    <x v="0"/>
    <x v="8"/>
    <n v="31.9"/>
    <x v="281"/>
    <x v="58"/>
    <d v="2025-03-01T00:00:00"/>
    <s v="F"/>
    <x v="4"/>
    <x v="0"/>
    <x v="0"/>
    <x v="3"/>
    <x v="3"/>
    <x v="8"/>
    <x v="2"/>
  </r>
  <r>
    <x v="1587"/>
    <x v="8"/>
    <x v="2"/>
    <n v="21.3"/>
    <x v="1276"/>
    <x v="58"/>
    <d v="2025-03-01T00:00:00"/>
    <s v="M"/>
    <x v="0"/>
    <x v="2"/>
    <x v="0"/>
    <x v="3"/>
    <x v="3"/>
    <x v="8"/>
    <x v="1"/>
  </r>
  <r>
    <x v="1588"/>
    <x v="8"/>
    <x v="0"/>
    <n v="36.299999999999997"/>
    <x v="1277"/>
    <x v="58"/>
    <d v="2025-03-02T00:00:00"/>
    <s v="O"/>
    <x v="4"/>
    <x v="0"/>
    <x v="0"/>
    <x v="3"/>
    <x v="1"/>
    <x v="8"/>
    <x v="3"/>
  </r>
  <r>
    <x v="1589"/>
    <x v="6"/>
    <x v="2"/>
    <n v="110.5"/>
    <x v="1278"/>
    <x v="58"/>
    <d v="2025-03-01T00:00:00"/>
    <s v="F"/>
    <x v="0"/>
    <x v="3"/>
    <x v="0"/>
    <x v="3"/>
    <x v="3"/>
    <x v="8"/>
    <x v="2"/>
  </r>
  <r>
    <x v="1590"/>
    <x v="10"/>
    <x v="3"/>
    <n v="32.6"/>
    <x v="1279"/>
    <x v="58"/>
    <d v="2025-03-02T00:00:00"/>
    <s v="F"/>
    <x v="0"/>
    <x v="1"/>
    <x v="0"/>
    <x v="3"/>
    <x v="1"/>
    <x v="8"/>
    <x v="2"/>
  </r>
  <r>
    <x v="1591"/>
    <x v="5"/>
    <x v="2"/>
    <n v="55.6"/>
    <x v="701"/>
    <x v="59"/>
    <d v="2025-03-14T00:00:00"/>
    <s v="F"/>
    <x v="0"/>
    <x v="0"/>
    <x v="0"/>
    <x v="3"/>
    <x v="10"/>
    <x v="8"/>
    <x v="2"/>
  </r>
  <r>
    <x v="1592"/>
    <x v="1"/>
    <x v="12"/>
    <n v="38"/>
    <x v="465"/>
    <x v="59"/>
    <d v="2025-03-02T00:00:00"/>
    <s v="F"/>
    <x v="3"/>
    <x v="2"/>
    <x v="0"/>
    <x v="5"/>
    <x v="3"/>
    <x v="8"/>
    <x v="2"/>
  </r>
  <r>
    <x v="1593"/>
    <x v="10"/>
    <x v="1"/>
    <n v="51.8"/>
    <x v="186"/>
    <x v="59"/>
    <d v="2025-03-07T00:00:00"/>
    <s v="M"/>
    <x v="1"/>
    <x v="4"/>
    <x v="0"/>
    <x v="6"/>
    <x v="4"/>
    <x v="8"/>
    <x v="1"/>
  </r>
  <r>
    <x v="1594"/>
    <x v="11"/>
    <x v="8"/>
    <n v="28.7"/>
    <x v="1166"/>
    <x v="59"/>
    <d v="2025-03-06T00:00:00"/>
    <s v="F"/>
    <x v="0"/>
    <x v="0"/>
    <x v="0"/>
    <x v="6"/>
    <x v="0"/>
    <x v="8"/>
    <x v="2"/>
  </r>
  <r>
    <x v="1595"/>
    <x v="6"/>
    <x v="4"/>
    <n v="52.2"/>
    <x v="1280"/>
    <x v="59"/>
    <d v="2025-03-01T00:00:00"/>
    <s v="M"/>
    <x v="0"/>
    <x v="1"/>
    <x v="0"/>
    <x v="6"/>
    <x v="7"/>
    <x v="8"/>
    <x v="1"/>
  </r>
  <r>
    <x v="1596"/>
    <x v="1"/>
    <x v="1"/>
    <n v="68.2"/>
    <x v="517"/>
    <x v="59"/>
    <d v="2025-03-02T00:00:00"/>
    <s v=""/>
    <x v="2"/>
    <x v="0"/>
    <x v="0"/>
    <x v="7"/>
    <x v="3"/>
    <x v="8"/>
    <x v="0"/>
  </r>
  <r>
    <x v="1597"/>
    <x v="0"/>
    <x v="2"/>
    <n v="34"/>
    <x v="1062"/>
    <x v="59"/>
    <d v="2025-03-05T00:00:00"/>
    <s v="F"/>
    <x v="0"/>
    <x v="0"/>
    <x v="0"/>
    <x v="8"/>
    <x v="5"/>
    <x v="8"/>
    <x v="2"/>
  </r>
  <r>
    <x v="1598"/>
    <x v="8"/>
    <x v="2"/>
    <n v="19.100000000000001"/>
    <x v="1281"/>
    <x v="59"/>
    <d v="2025-03-02T00:00:00"/>
    <s v="F"/>
    <x v="4"/>
    <x v="0"/>
    <x v="0"/>
    <x v="8"/>
    <x v="3"/>
    <x v="8"/>
    <x v="2"/>
  </r>
  <r>
    <x v="1599"/>
    <x v="5"/>
    <x v="8"/>
    <n v="34"/>
    <x v="1123"/>
    <x v="59"/>
    <d v="2025-03-09T00:00:00"/>
    <s v="F"/>
    <x v="4"/>
    <x v="0"/>
    <x v="0"/>
    <x v="8"/>
    <x v="9"/>
    <x v="8"/>
    <x v="2"/>
  </r>
  <r>
    <x v="1600"/>
    <x v="12"/>
    <x v="1"/>
    <n v="109.1"/>
    <x v="1282"/>
    <x v="59"/>
    <d v="2025-03-03T00:00:00"/>
    <s v="M"/>
    <x v="0"/>
    <x v="2"/>
    <x v="0"/>
    <x v="8"/>
    <x v="1"/>
    <x v="8"/>
    <x v="1"/>
  </r>
  <r>
    <x v="1601"/>
    <x v="18"/>
    <x v="1"/>
    <n v="64.8"/>
    <x v="632"/>
    <x v="59"/>
    <d v="2025-03-03T00:00:00"/>
    <s v="M"/>
    <x v="0"/>
    <x v="2"/>
    <x v="0"/>
    <x v="8"/>
    <x v="1"/>
    <x v="8"/>
    <x v="1"/>
  </r>
  <r>
    <x v="1602"/>
    <x v="10"/>
    <x v="1"/>
    <n v="21.1"/>
    <x v="1283"/>
    <x v="59"/>
    <d v="2025-03-01T00:00:00"/>
    <s v="F"/>
    <x v="1"/>
    <x v="0"/>
    <x v="0"/>
    <x v="11"/>
    <x v="7"/>
    <x v="8"/>
    <x v="2"/>
  </r>
  <r>
    <x v="1603"/>
    <x v="0"/>
    <x v="8"/>
    <n v="21.3"/>
    <x v="1284"/>
    <x v="59"/>
    <d v="2025-03-03T00:00:00"/>
    <s v="M"/>
    <x v="3"/>
    <x v="1"/>
    <x v="0"/>
    <x v="18"/>
    <x v="1"/>
    <x v="8"/>
    <x v="1"/>
  </r>
  <r>
    <x v="1604"/>
    <x v="9"/>
    <x v="2"/>
    <n v="24.3"/>
    <x v="1285"/>
    <x v="59"/>
    <d v="2025-03-02T00:00:00"/>
    <s v="M"/>
    <x v="1"/>
    <x v="0"/>
    <x v="0"/>
    <x v="19"/>
    <x v="3"/>
    <x v="8"/>
    <x v="1"/>
  </r>
  <r>
    <x v="1605"/>
    <x v="8"/>
    <x v="0"/>
    <n v="43.3"/>
    <x v="1286"/>
    <x v="59"/>
    <d v="2025-03-05T00:00:00"/>
    <s v="M"/>
    <x v="1"/>
    <x v="1"/>
    <x v="0"/>
    <x v="13"/>
    <x v="5"/>
    <x v="8"/>
    <x v="1"/>
  </r>
  <r>
    <x v="1606"/>
    <x v="9"/>
    <x v="2"/>
    <n v="41"/>
    <x v="1287"/>
    <x v="59"/>
    <d v="2025-03-02T00:00:00"/>
    <s v="F"/>
    <x v="3"/>
    <x v="4"/>
    <x v="0"/>
    <x v="21"/>
    <x v="3"/>
    <x v="8"/>
    <x v="2"/>
  </r>
  <r>
    <x v="1607"/>
    <x v="16"/>
    <x v="2"/>
    <n v="54.1"/>
    <x v="1288"/>
    <x v="59"/>
    <d v="2025-03-03T00:00:00"/>
    <s v="F"/>
    <x v="4"/>
    <x v="0"/>
    <x v="0"/>
    <x v="21"/>
    <x v="1"/>
    <x v="8"/>
    <x v="2"/>
  </r>
  <r>
    <x v="1608"/>
    <x v="11"/>
    <x v="1"/>
    <n v="39"/>
    <x v="292"/>
    <x v="59"/>
    <d v="2025-03-02T00:00:00"/>
    <s v="M"/>
    <x v="1"/>
    <x v="2"/>
    <x v="0"/>
    <x v="1"/>
    <x v="3"/>
    <x v="8"/>
    <x v="1"/>
  </r>
  <r>
    <x v="1609"/>
    <x v="8"/>
    <x v="1"/>
    <n v="40.299999999999997"/>
    <x v="7"/>
    <x v="59"/>
    <d v="2025-03-03T00:00:00"/>
    <s v="M"/>
    <x v="3"/>
    <x v="0"/>
    <x v="0"/>
    <x v="27"/>
    <x v="1"/>
    <x v="8"/>
    <x v="1"/>
  </r>
  <r>
    <x v="1610"/>
    <x v="8"/>
    <x v="2"/>
    <n v="24.1"/>
    <x v="1289"/>
    <x v="59"/>
    <d v="2025-03-02T00:00:00"/>
    <s v="M"/>
    <x v="0"/>
    <x v="2"/>
    <x v="0"/>
    <x v="34"/>
    <x v="3"/>
    <x v="8"/>
    <x v="1"/>
  </r>
  <r>
    <x v="1611"/>
    <x v="6"/>
    <x v="9"/>
    <n v="52.3"/>
    <x v="1290"/>
    <x v="59"/>
    <d v="2025-03-02T00:00:00"/>
    <s v="M"/>
    <x v="2"/>
    <x v="0"/>
    <x v="0"/>
    <x v="3"/>
    <x v="3"/>
    <x v="8"/>
    <x v="1"/>
  </r>
  <r>
    <x v="1612"/>
    <x v="12"/>
    <x v="12"/>
    <n v="68.8"/>
    <x v="1291"/>
    <x v="59"/>
    <d v="2025-03-05T00:00:00"/>
    <s v="F"/>
    <x v="4"/>
    <x v="2"/>
    <x v="0"/>
    <x v="3"/>
    <x v="5"/>
    <x v="8"/>
    <x v="2"/>
  </r>
  <r>
    <x v="1613"/>
    <x v="2"/>
    <x v="1"/>
    <n v="128.80000000000001"/>
    <x v="1292"/>
    <x v="60"/>
    <d v="2025-03-05T00:00:00"/>
    <s v="F"/>
    <x v="1"/>
    <x v="1"/>
    <x v="0"/>
    <x v="3"/>
    <x v="2"/>
    <x v="9"/>
    <x v="2"/>
  </r>
  <r>
    <x v="1614"/>
    <x v="15"/>
    <x v="9"/>
    <n v="48.2"/>
    <x v="1044"/>
    <x v="60"/>
    <d v="2025-03-04T00:00:00"/>
    <s v="F"/>
    <x v="3"/>
    <x v="0"/>
    <x v="0"/>
    <x v="3"/>
    <x v="1"/>
    <x v="9"/>
    <x v="2"/>
  </r>
  <r>
    <x v="1615"/>
    <x v="10"/>
    <x v="0"/>
    <n v="39.700000000000003"/>
    <x v="144"/>
    <x v="60"/>
    <d v="2025-03-04T00:00:00"/>
    <s v="F"/>
    <x v="0"/>
    <x v="1"/>
    <x v="0"/>
    <x v="3"/>
    <x v="1"/>
    <x v="9"/>
    <x v="2"/>
  </r>
  <r>
    <x v="1616"/>
    <x v="9"/>
    <x v="0"/>
    <n v="59.7"/>
    <x v="1201"/>
    <x v="60"/>
    <d v="2025-03-05T00:00:00"/>
    <s v="F"/>
    <x v="4"/>
    <x v="0"/>
    <x v="0"/>
    <x v="3"/>
    <x v="2"/>
    <x v="9"/>
    <x v="2"/>
  </r>
  <r>
    <x v="1617"/>
    <x v="6"/>
    <x v="0"/>
    <n v="48.3"/>
    <x v="1293"/>
    <x v="60"/>
    <d v="2025-03-16T00:00:00"/>
    <s v="O"/>
    <x v="0"/>
    <x v="2"/>
    <x v="0"/>
    <x v="3"/>
    <x v="12"/>
    <x v="9"/>
    <x v="3"/>
  </r>
  <r>
    <x v="1618"/>
    <x v="8"/>
    <x v="2"/>
    <n v="45.5"/>
    <x v="1294"/>
    <x v="60"/>
    <d v="2025-03-04T00:00:00"/>
    <s v="M"/>
    <x v="2"/>
    <x v="1"/>
    <x v="0"/>
    <x v="3"/>
    <x v="1"/>
    <x v="9"/>
    <x v="1"/>
  </r>
  <r>
    <x v="1619"/>
    <x v="9"/>
    <x v="6"/>
    <n v="51"/>
    <x v="1295"/>
    <x v="60"/>
    <d v="2025-03-02T00:00:00"/>
    <s v="F"/>
    <x v="2"/>
    <x v="0"/>
    <x v="0"/>
    <x v="3"/>
    <x v="7"/>
    <x v="9"/>
    <x v="2"/>
  </r>
  <r>
    <x v="1620"/>
    <x v="4"/>
    <x v="13"/>
    <n v="20.399999999999999"/>
    <x v="1296"/>
    <x v="60"/>
    <d v="2025-03-03T00:00:00"/>
    <s v="M"/>
    <x v="2"/>
    <x v="0"/>
    <x v="0"/>
    <x v="3"/>
    <x v="3"/>
    <x v="9"/>
    <x v="1"/>
  </r>
  <r>
    <x v="1621"/>
    <x v="10"/>
    <x v="1"/>
    <n v="30.4"/>
    <x v="1297"/>
    <x v="60"/>
    <d v="2025-03-04T00:00:00"/>
    <s v="M"/>
    <x v="2"/>
    <x v="0"/>
    <x v="0"/>
    <x v="3"/>
    <x v="1"/>
    <x v="9"/>
    <x v="1"/>
  </r>
  <r>
    <x v="1622"/>
    <x v="7"/>
    <x v="1"/>
    <n v="71.5"/>
    <x v="1298"/>
    <x v="60"/>
    <d v="2025-03-06T00:00:00"/>
    <s v="F"/>
    <x v="0"/>
    <x v="0"/>
    <x v="0"/>
    <x v="3"/>
    <x v="5"/>
    <x v="9"/>
    <x v="2"/>
  </r>
  <r>
    <x v="1623"/>
    <x v="8"/>
    <x v="13"/>
    <n v="18"/>
    <x v="807"/>
    <x v="60"/>
    <d v="2025-03-03T00:00:00"/>
    <s v="O"/>
    <x v="1"/>
    <x v="2"/>
    <x v="0"/>
    <x v="6"/>
    <x v="3"/>
    <x v="9"/>
    <x v="3"/>
  </r>
  <r>
    <x v="1624"/>
    <x v="15"/>
    <x v="5"/>
    <n v="45.6"/>
    <x v="1299"/>
    <x v="60"/>
    <d v="2025-03-03T00:00:00"/>
    <s v="O"/>
    <x v="1"/>
    <x v="1"/>
    <x v="0"/>
    <x v="7"/>
    <x v="3"/>
    <x v="9"/>
    <x v="3"/>
  </r>
  <r>
    <x v="1625"/>
    <x v="9"/>
    <x v="0"/>
    <n v="31.8"/>
    <x v="627"/>
    <x v="60"/>
    <d v="2025-03-06T00:00:00"/>
    <s v="F"/>
    <x v="0"/>
    <x v="2"/>
    <x v="0"/>
    <x v="7"/>
    <x v="5"/>
    <x v="9"/>
    <x v="2"/>
  </r>
  <r>
    <x v="1626"/>
    <x v="8"/>
    <x v="9"/>
    <n v="19.899999999999999"/>
    <x v="1300"/>
    <x v="60"/>
    <d v="2025-03-03T00:00:00"/>
    <s v="F"/>
    <x v="1"/>
    <x v="0"/>
    <x v="0"/>
    <x v="7"/>
    <x v="3"/>
    <x v="9"/>
    <x v="2"/>
  </r>
  <r>
    <x v="1627"/>
    <x v="12"/>
    <x v="11"/>
    <n v="52.1"/>
    <x v="1301"/>
    <x v="60"/>
    <d v="2025-03-04T00:00:00"/>
    <s v="M"/>
    <x v="0"/>
    <x v="0"/>
    <x v="0"/>
    <x v="8"/>
    <x v="1"/>
    <x v="9"/>
    <x v="1"/>
  </r>
  <r>
    <x v="1628"/>
    <x v="1"/>
    <x v="3"/>
    <n v="45.9"/>
    <x v="1198"/>
    <x v="60"/>
    <d v="2025-03-03T00:00:00"/>
    <s v="M"/>
    <x v="0"/>
    <x v="1"/>
    <x v="0"/>
    <x v="8"/>
    <x v="3"/>
    <x v="9"/>
    <x v="1"/>
  </r>
  <r>
    <x v="1629"/>
    <x v="1"/>
    <x v="7"/>
    <n v="115.9"/>
    <x v="1302"/>
    <x v="60"/>
    <d v="2025-03-05T00:00:00"/>
    <s v="F"/>
    <x v="1"/>
    <x v="0"/>
    <x v="0"/>
    <x v="8"/>
    <x v="2"/>
    <x v="9"/>
    <x v="2"/>
  </r>
  <r>
    <x v="1630"/>
    <x v="6"/>
    <x v="11"/>
    <n v="86"/>
    <x v="1303"/>
    <x v="60"/>
    <d v="2025-03-07T00:00:00"/>
    <s v="F"/>
    <x v="0"/>
    <x v="1"/>
    <x v="0"/>
    <x v="8"/>
    <x v="0"/>
    <x v="9"/>
    <x v="2"/>
  </r>
  <r>
    <x v="1631"/>
    <x v="7"/>
    <x v="3"/>
    <n v="73.599999999999994"/>
    <x v="1304"/>
    <x v="60"/>
    <d v="2025-03-04T00:00:00"/>
    <s v="F"/>
    <x v="0"/>
    <x v="0"/>
    <x v="0"/>
    <x v="17"/>
    <x v="1"/>
    <x v="9"/>
    <x v="2"/>
  </r>
  <r>
    <x v="1632"/>
    <x v="10"/>
    <x v="2"/>
    <n v="26.7"/>
    <x v="1133"/>
    <x v="60"/>
    <d v="2025-03-06T00:00:00"/>
    <s v="F"/>
    <x v="0"/>
    <x v="0"/>
    <x v="0"/>
    <x v="11"/>
    <x v="5"/>
    <x v="9"/>
    <x v="2"/>
  </r>
  <r>
    <x v="1633"/>
    <x v="8"/>
    <x v="3"/>
    <n v="46.6"/>
    <x v="1305"/>
    <x v="60"/>
    <d v="2025-03-04T00:00:00"/>
    <s v=""/>
    <x v="3"/>
    <x v="0"/>
    <x v="0"/>
    <x v="11"/>
    <x v="1"/>
    <x v="9"/>
    <x v="0"/>
  </r>
  <r>
    <x v="1634"/>
    <x v="3"/>
    <x v="2"/>
    <n v="84.6"/>
    <x v="1306"/>
    <x v="60"/>
    <d v="2025-03-04T00:00:00"/>
    <s v="M"/>
    <x v="4"/>
    <x v="0"/>
    <x v="0"/>
    <x v="11"/>
    <x v="1"/>
    <x v="9"/>
    <x v="1"/>
  </r>
  <r>
    <x v="1635"/>
    <x v="7"/>
    <x v="21"/>
    <n v="41.5"/>
    <x v="1307"/>
    <x v="60"/>
    <d v="2025-03-16T00:00:00"/>
    <s v="M"/>
    <x v="1"/>
    <x v="0"/>
    <x v="0"/>
    <x v="53"/>
    <x v="12"/>
    <x v="9"/>
    <x v="1"/>
  </r>
  <r>
    <x v="1636"/>
    <x v="8"/>
    <x v="0"/>
    <n v="32.799999999999997"/>
    <x v="944"/>
    <x v="60"/>
    <d v="2025-03-05T00:00:00"/>
    <s v="M"/>
    <x v="0"/>
    <x v="2"/>
    <x v="0"/>
    <x v="30"/>
    <x v="2"/>
    <x v="9"/>
    <x v="1"/>
  </r>
  <r>
    <x v="1637"/>
    <x v="4"/>
    <x v="3"/>
    <n v="46.7"/>
    <x v="1308"/>
    <x v="60"/>
    <d v="2025-03-04T00:00:00"/>
    <s v="O"/>
    <x v="0"/>
    <x v="2"/>
    <x v="0"/>
    <x v="18"/>
    <x v="1"/>
    <x v="9"/>
    <x v="3"/>
  </r>
  <r>
    <x v="1638"/>
    <x v="15"/>
    <x v="3"/>
    <n v="21"/>
    <x v="926"/>
    <x v="60"/>
    <d v="2025-03-05T00:00:00"/>
    <s v="M"/>
    <x v="2"/>
    <x v="1"/>
    <x v="0"/>
    <x v="21"/>
    <x v="2"/>
    <x v="9"/>
    <x v="1"/>
  </r>
  <r>
    <x v="1639"/>
    <x v="5"/>
    <x v="3"/>
    <n v="29.4"/>
    <x v="43"/>
    <x v="60"/>
    <d v="2025-03-02T00:00:00"/>
    <s v="M"/>
    <x v="3"/>
    <x v="2"/>
    <x v="0"/>
    <x v="21"/>
    <x v="7"/>
    <x v="9"/>
    <x v="1"/>
  </r>
  <r>
    <x v="1640"/>
    <x v="15"/>
    <x v="1"/>
    <n v="32.299999999999997"/>
    <x v="1099"/>
    <x v="60"/>
    <d v="2025-03-03T00:00:00"/>
    <s v="M"/>
    <x v="0"/>
    <x v="2"/>
    <x v="0"/>
    <x v="21"/>
    <x v="3"/>
    <x v="9"/>
    <x v="1"/>
  </r>
  <r>
    <x v="1641"/>
    <x v="6"/>
    <x v="0"/>
    <n v="42.2"/>
    <x v="1283"/>
    <x v="61"/>
    <d v="2025-03-05T00:00:00"/>
    <s v="F"/>
    <x v="0"/>
    <x v="2"/>
    <x v="0"/>
    <x v="21"/>
    <x v="1"/>
    <x v="9"/>
    <x v="2"/>
  </r>
  <r>
    <x v="1642"/>
    <x v="6"/>
    <x v="0"/>
    <n v="53.7"/>
    <x v="1309"/>
    <x v="61"/>
    <d v="2025-03-05T00:00:00"/>
    <s v="M"/>
    <x v="1"/>
    <x v="1"/>
    <x v="0"/>
    <x v="1"/>
    <x v="1"/>
    <x v="9"/>
    <x v="1"/>
  </r>
  <r>
    <x v="1643"/>
    <x v="2"/>
    <x v="1"/>
    <n v="123.9"/>
    <x v="1310"/>
    <x v="61"/>
    <d v="2025-03-06T00:00:00"/>
    <s v="M"/>
    <x v="2"/>
    <x v="0"/>
    <x v="0"/>
    <x v="1"/>
    <x v="2"/>
    <x v="9"/>
    <x v="1"/>
  </r>
  <r>
    <x v="1644"/>
    <x v="4"/>
    <x v="2"/>
    <n v="35.9"/>
    <x v="1311"/>
    <x v="61"/>
    <d v="2025-03-05T00:00:00"/>
    <s v="M"/>
    <x v="2"/>
    <x v="0"/>
    <x v="0"/>
    <x v="22"/>
    <x v="1"/>
    <x v="9"/>
    <x v="1"/>
  </r>
  <r>
    <x v="1645"/>
    <x v="4"/>
    <x v="1"/>
    <n v="23.6"/>
    <x v="828"/>
    <x v="61"/>
    <d v="2025-03-06T00:00:00"/>
    <s v="M"/>
    <x v="0"/>
    <x v="2"/>
    <x v="0"/>
    <x v="3"/>
    <x v="2"/>
    <x v="9"/>
    <x v="1"/>
  </r>
  <r>
    <x v="1646"/>
    <x v="15"/>
    <x v="36"/>
    <n v="45.7"/>
    <x v="1312"/>
    <x v="61"/>
    <d v="2025-03-04T00:00:00"/>
    <s v="M"/>
    <x v="0"/>
    <x v="1"/>
    <x v="0"/>
    <x v="3"/>
    <x v="3"/>
    <x v="9"/>
    <x v="1"/>
  </r>
  <r>
    <x v="1647"/>
    <x v="6"/>
    <x v="5"/>
    <n v="118.3"/>
    <x v="1313"/>
    <x v="61"/>
    <d v="2025-03-05T00:00:00"/>
    <s v="M"/>
    <x v="4"/>
    <x v="2"/>
    <x v="0"/>
    <x v="3"/>
    <x v="1"/>
    <x v="9"/>
    <x v="1"/>
  </r>
  <r>
    <x v="1648"/>
    <x v="19"/>
    <x v="0"/>
    <n v="36"/>
    <x v="53"/>
    <x v="61"/>
    <d v="2025-03-04T00:00:00"/>
    <s v="F"/>
    <x v="0"/>
    <x v="1"/>
    <x v="0"/>
    <x v="3"/>
    <x v="3"/>
    <x v="9"/>
    <x v="2"/>
  </r>
  <r>
    <x v="1649"/>
    <x v="8"/>
    <x v="1"/>
    <n v="37.1"/>
    <x v="1314"/>
    <x v="61"/>
    <d v="2025-03-06T00:00:00"/>
    <s v="F"/>
    <x v="2"/>
    <x v="0"/>
    <x v="0"/>
    <x v="3"/>
    <x v="2"/>
    <x v="9"/>
    <x v="2"/>
  </r>
  <r>
    <x v="1650"/>
    <x v="18"/>
    <x v="2"/>
    <n v="45.1"/>
    <x v="246"/>
    <x v="61"/>
    <d v="2025-03-05T00:00:00"/>
    <s v="F"/>
    <x v="1"/>
    <x v="2"/>
    <x v="0"/>
    <x v="3"/>
    <x v="1"/>
    <x v="9"/>
    <x v="2"/>
  </r>
  <r>
    <x v="1651"/>
    <x v="5"/>
    <x v="27"/>
    <n v="37.9"/>
    <x v="1315"/>
    <x v="61"/>
    <d v="2025-03-04T00:00:00"/>
    <s v="F"/>
    <x v="3"/>
    <x v="2"/>
    <x v="0"/>
    <x v="3"/>
    <x v="3"/>
    <x v="9"/>
    <x v="2"/>
  </r>
  <r>
    <x v="1652"/>
    <x v="2"/>
    <x v="1"/>
    <n v="121.6"/>
    <x v="1316"/>
    <x v="61"/>
    <d v="2025-03-06T00:00:00"/>
    <s v="M"/>
    <x v="3"/>
    <x v="2"/>
    <x v="0"/>
    <x v="3"/>
    <x v="2"/>
    <x v="9"/>
    <x v="1"/>
  </r>
  <r>
    <x v="1653"/>
    <x v="5"/>
    <x v="3"/>
    <n v="38.200000000000003"/>
    <x v="1317"/>
    <x v="61"/>
    <d v="2025-03-06T00:00:00"/>
    <s v="F"/>
    <x v="0"/>
    <x v="0"/>
    <x v="0"/>
    <x v="3"/>
    <x v="2"/>
    <x v="9"/>
    <x v="2"/>
  </r>
  <r>
    <x v="1654"/>
    <x v="17"/>
    <x v="1"/>
    <n v="37.200000000000003"/>
    <x v="610"/>
    <x v="61"/>
    <d v="2025-03-06T00:00:00"/>
    <s v="M"/>
    <x v="4"/>
    <x v="0"/>
    <x v="0"/>
    <x v="3"/>
    <x v="2"/>
    <x v="9"/>
    <x v="1"/>
  </r>
  <r>
    <x v="1655"/>
    <x v="2"/>
    <x v="12"/>
    <n v="115.7"/>
    <x v="1318"/>
    <x v="61"/>
    <d v="2025-03-06T00:00:00"/>
    <s v="F"/>
    <x v="1"/>
    <x v="0"/>
    <x v="0"/>
    <x v="3"/>
    <x v="2"/>
    <x v="9"/>
    <x v="2"/>
  </r>
  <r>
    <x v="1656"/>
    <x v="2"/>
    <x v="13"/>
    <n v="99.4"/>
    <x v="1319"/>
    <x v="61"/>
    <d v="2025-03-06T00:00:00"/>
    <s v="M"/>
    <x v="0"/>
    <x v="2"/>
    <x v="0"/>
    <x v="3"/>
    <x v="2"/>
    <x v="9"/>
    <x v="1"/>
  </r>
  <r>
    <x v="1657"/>
    <x v="11"/>
    <x v="0"/>
    <n v="38.700000000000003"/>
    <x v="1320"/>
    <x v="61"/>
    <d v="2025-03-04T00:00:00"/>
    <s v="F"/>
    <x v="2"/>
    <x v="0"/>
    <x v="0"/>
    <x v="25"/>
    <x v="3"/>
    <x v="9"/>
    <x v="2"/>
  </r>
  <r>
    <x v="1658"/>
    <x v="4"/>
    <x v="1"/>
    <n v="35.5"/>
    <x v="1321"/>
    <x v="61"/>
    <d v="2025-03-06T00:00:00"/>
    <s v="M"/>
    <x v="0"/>
    <x v="2"/>
    <x v="0"/>
    <x v="25"/>
    <x v="2"/>
    <x v="9"/>
    <x v="1"/>
  </r>
  <r>
    <x v="1659"/>
    <x v="2"/>
    <x v="12"/>
    <n v="93.3"/>
    <x v="1322"/>
    <x v="61"/>
    <d v="2025-03-06T00:00:00"/>
    <s v="F"/>
    <x v="0"/>
    <x v="2"/>
    <x v="0"/>
    <x v="6"/>
    <x v="2"/>
    <x v="9"/>
    <x v="2"/>
  </r>
  <r>
    <x v="1660"/>
    <x v="16"/>
    <x v="0"/>
    <n v="31.4"/>
    <x v="1323"/>
    <x v="61"/>
    <d v="2025-03-08T00:00:00"/>
    <s v="F"/>
    <x v="2"/>
    <x v="2"/>
    <x v="0"/>
    <x v="6"/>
    <x v="0"/>
    <x v="9"/>
    <x v="2"/>
  </r>
  <r>
    <x v="1661"/>
    <x v="1"/>
    <x v="0"/>
    <n v="85.9"/>
    <x v="1324"/>
    <x v="61"/>
    <d v="2025-03-06T00:00:00"/>
    <s v="M"/>
    <x v="1"/>
    <x v="0"/>
    <x v="0"/>
    <x v="6"/>
    <x v="2"/>
    <x v="9"/>
    <x v="1"/>
  </r>
  <r>
    <x v="1662"/>
    <x v="6"/>
    <x v="8"/>
    <n v="41.7"/>
    <x v="335"/>
    <x v="61"/>
    <d v="2025-03-11T00:00:00"/>
    <s v="M"/>
    <x v="0"/>
    <x v="2"/>
    <x v="0"/>
    <x v="7"/>
    <x v="9"/>
    <x v="9"/>
    <x v="1"/>
  </r>
  <r>
    <x v="1663"/>
    <x v="8"/>
    <x v="12"/>
    <n v="31.5"/>
    <x v="624"/>
    <x v="61"/>
    <d v="2025-03-04T00:00:00"/>
    <s v="F"/>
    <x v="0"/>
    <x v="0"/>
    <x v="0"/>
    <x v="7"/>
    <x v="3"/>
    <x v="9"/>
    <x v="2"/>
  </r>
  <r>
    <x v="1664"/>
    <x v="8"/>
    <x v="1"/>
    <n v="36.299999999999997"/>
    <x v="1325"/>
    <x v="61"/>
    <d v="2025-03-04T00:00:00"/>
    <s v="F"/>
    <x v="0"/>
    <x v="4"/>
    <x v="0"/>
    <x v="8"/>
    <x v="3"/>
    <x v="9"/>
    <x v="2"/>
  </r>
  <r>
    <x v="1665"/>
    <x v="8"/>
    <x v="2"/>
    <n v="33.4"/>
    <x v="1326"/>
    <x v="61"/>
    <d v="2025-03-04T00:00:00"/>
    <s v="F"/>
    <x v="3"/>
    <x v="0"/>
    <x v="0"/>
    <x v="17"/>
    <x v="3"/>
    <x v="9"/>
    <x v="2"/>
  </r>
  <r>
    <x v="1666"/>
    <x v="2"/>
    <x v="2"/>
    <n v="65.2"/>
    <x v="1327"/>
    <x v="61"/>
    <d v="2025-03-04T00:00:00"/>
    <s v="F"/>
    <x v="2"/>
    <x v="2"/>
    <x v="0"/>
    <x v="26"/>
    <x v="3"/>
    <x v="9"/>
    <x v="2"/>
  </r>
  <r>
    <x v="1667"/>
    <x v="8"/>
    <x v="11"/>
    <n v="65.5"/>
    <x v="1328"/>
    <x v="61"/>
    <d v="2025-03-06T00:00:00"/>
    <s v="F"/>
    <x v="0"/>
    <x v="2"/>
    <x v="0"/>
    <x v="9"/>
    <x v="2"/>
    <x v="9"/>
    <x v="2"/>
  </r>
  <r>
    <x v="1668"/>
    <x v="6"/>
    <x v="2"/>
    <n v="52.8"/>
    <x v="1329"/>
    <x v="61"/>
    <d v="2025-03-06T00:00:00"/>
    <s v="M"/>
    <x v="2"/>
    <x v="0"/>
    <x v="0"/>
    <x v="9"/>
    <x v="2"/>
    <x v="9"/>
    <x v="1"/>
  </r>
  <r>
    <x v="1669"/>
    <x v="9"/>
    <x v="9"/>
    <n v="24"/>
    <x v="160"/>
    <x v="61"/>
    <d v="2025-03-07T00:00:00"/>
    <s v="M"/>
    <x v="0"/>
    <x v="1"/>
    <x v="0"/>
    <x v="11"/>
    <x v="5"/>
    <x v="9"/>
    <x v="1"/>
  </r>
  <r>
    <x v="1670"/>
    <x v="3"/>
    <x v="2"/>
    <n v="51.2"/>
    <x v="1330"/>
    <x v="61"/>
    <d v="2025-03-04T00:00:00"/>
    <s v="F"/>
    <x v="0"/>
    <x v="0"/>
    <x v="0"/>
    <x v="32"/>
    <x v="3"/>
    <x v="9"/>
    <x v="2"/>
  </r>
  <r>
    <x v="1671"/>
    <x v="5"/>
    <x v="2"/>
    <n v="28.3"/>
    <x v="1331"/>
    <x v="61"/>
    <d v="2025-03-05T00:00:00"/>
    <s v="M"/>
    <x v="4"/>
    <x v="0"/>
    <x v="0"/>
    <x v="19"/>
    <x v="1"/>
    <x v="9"/>
    <x v="1"/>
  </r>
  <r>
    <x v="1672"/>
    <x v="6"/>
    <x v="2"/>
    <n v="42.3"/>
    <x v="1332"/>
    <x v="61"/>
    <d v="2025-03-03T00:00:00"/>
    <s v="F"/>
    <x v="2"/>
    <x v="1"/>
    <x v="0"/>
    <x v="19"/>
    <x v="7"/>
    <x v="9"/>
    <x v="2"/>
  </r>
  <r>
    <x v="1673"/>
    <x v="2"/>
    <x v="8"/>
    <n v="163.30000000000001"/>
    <x v="1333"/>
    <x v="62"/>
    <d v="2025-03-05T00:00:00"/>
    <s v="F"/>
    <x v="1"/>
    <x v="0"/>
    <x v="0"/>
    <x v="13"/>
    <x v="3"/>
    <x v="9"/>
    <x v="2"/>
  </r>
  <r>
    <x v="1674"/>
    <x v="6"/>
    <x v="3"/>
    <n v="47.3"/>
    <x v="1334"/>
    <x v="62"/>
    <d v="2025-03-07T00:00:00"/>
    <s v="F"/>
    <x v="4"/>
    <x v="1"/>
    <x v="0"/>
    <x v="21"/>
    <x v="2"/>
    <x v="9"/>
    <x v="2"/>
  </r>
  <r>
    <x v="1675"/>
    <x v="8"/>
    <x v="27"/>
    <n v="27.3"/>
    <x v="1335"/>
    <x v="62"/>
    <d v="2025-03-05T00:00:00"/>
    <s v="F"/>
    <x v="2"/>
    <x v="0"/>
    <x v="0"/>
    <x v="21"/>
    <x v="3"/>
    <x v="9"/>
    <x v="2"/>
  </r>
  <r>
    <x v="1676"/>
    <x v="10"/>
    <x v="13"/>
    <n v="34.9"/>
    <x v="1336"/>
    <x v="62"/>
    <d v="2025-03-15T00:00:00"/>
    <s v="F"/>
    <x v="0"/>
    <x v="0"/>
    <x v="0"/>
    <x v="21"/>
    <x v="11"/>
    <x v="9"/>
    <x v="2"/>
  </r>
  <r>
    <x v="1677"/>
    <x v="6"/>
    <x v="1"/>
    <n v="53.9"/>
    <x v="215"/>
    <x v="62"/>
    <d v="2025-03-07T00:00:00"/>
    <s v="O"/>
    <x v="0"/>
    <x v="4"/>
    <x v="0"/>
    <x v="1"/>
    <x v="2"/>
    <x v="9"/>
    <x v="3"/>
  </r>
  <r>
    <x v="1678"/>
    <x v="2"/>
    <x v="1"/>
    <n v="87.2"/>
    <x v="1337"/>
    <x v="62"/>
    <d v="2025-03-05T00:00:00"/>
    <s v="F"/>
    <x v="0"/>
    <x v="1"/>
    <x v="0"/>
    <x v="1"/>
    <x v="3"/>
    <x v="9"/>
    <x v="2"/>
  </r>
  <r>
    <x v="1679"/>
    <x v="15"/>
    <x v="0"/>
    <n v="58.8"/>
    <x v="572"/>
    <x v="62"/>
    <d v="2025-03-06T00:00:00"/>
    <s v="F"/>
    <x v="2"/>
    <x v="0"/>
    <x v="0"/>
    <x v="44"/>
    <x v="1"/>
    <x v="9"/>
    <x v="2"/>
  </r>
  <r>
    <x v="1680"/>
    <x v="2"/>
    <x v="3"/>
    <n v="125.5"/>
    <x v="1338"/>
    <x v="62"/>
    <d v="2025-03-05T00:00:00"/>
    <s v="M"/>
    <x v="2"/>
    <x v="4"/>
    <x v="0"/>
    <x v="22"/>
    <x v="3"/>
    <x v="9"/>
    <x v="1"/>
  </r>
  <r>
    <x v="1681"/>
    <x v="1"/>
    <x v="12"/>
    <n v="124.6"/>
    <x v="1339"/>
    <x v="62"/>
    <d v="2025-03-06T00:00:00"/>
    <s v="F"/>
    <x v="0"/>
    <x v="1"/>
    <x v="0"/>
    <x v="22"/>
    <x v="1"/>
    <x v="9"/>
    <x v="2"/>
  </r>
  <r>
    <x v="1682"/>
    <x v="1"/>
    <x v="3"/>
    <n v="39.9"/>
    <x v="1340"/>
    <x v="62"/>
    <d v="2025-03-05T00:00:00"/>
    <s v="M"/>
    <x v="2"/>
    <x v="1"/>
    <x v="0"/>
    <x v="3"/>
    <x v="3"/>
    <x v="9"/>
    <x v="1"/>
  </r>
  <r>
    <x v="1683"/>
    <x v="6"/>
    <x v="0"/>
    <n v="94.6"/>
    <x v="422"/>
    <x v="62"/>
    <d v="2025-03-18T00:00:00"/>
    <s v="F"/>
    <x v="0"/>
    <x v="1"/>
    <x v="0"/>
    <x v="3"/>
    <x v="12"/>
    <x v="9"/>
    <x v="2"/>
  </r>
  <r>
    <x v="1684"/>
    <x v="2"/>
    <x v="1"/>
    <n v="149.6"/>
    <x v="1341"/>
    <x v="62"/>
    <d v="2025-03-05T00:00:00"/>
    <s v="F"/>
    <x v="0"/>
    <x v="0"/>
    <x v="0"/>
    <x v="3"/>
    <x v="3"/>
    <x v="9"/>
    <x v="2"/>
  </r>
  <r>
    <x v="1685"/>
    <x v="8"/>
    <x v="0"/>
    <n v="52.2"/>
    <x v="1342"/>
    <x v="62"/>
    <d v="2025-03-05T00:00:00"/>
    <s v=""/>
    <x v="1"/>
    <x v="0"/>
    <x v="0"/>
    <x v="3"/>
    <x v="3"/>
    <x v="9"/>
    <x v="0"/>
  </r>
  <r>
    <x v="1686"/>
    <x v="6"/>
    <x v="1"/>
    <n v="96.5"/>
    <x v="1343"/>
    <x v="62"/>
    <d v="2025-03-05T00:00:00"/>
    <s v="F"/>
    <x v="1"/>
    <x v="1"/>
    <x v="0"/>
    <x v="3"/>
    <x v="3"/>
    <x v="9"/>
    <x v="2"/>
  </r>
  <r>
    <x v="1687"/>
    <x v="8"/>
    <x v="1"/>
    <n v="79.8"/>
    <x v="1344"/>
    <x v="62"/>
    <d v="2025-03-06T00:00:00"/>
    <s v="F"/>
    <x v="0"/>
    <x v="1"/>
    <x v="0"/>
    <x v="3"/>
    <x v="1"/>
    <x v="9"/>
    <x v="2"/>
  </r>
  <r>
    <x v="1688"/>
    <x v="8"/>
    <x v="2"/>
    <n v="35.6"/>
    <x v="694"/>
    <x v="62"/>
    <d v="2025-03-05T00:00:00"/>
    <s v="F"/>
    <x v="2"/>
    <x v="0"/>
    <x v="0"/>
    <x v="3"/>
    <x v="3"/>
    <x v="9"/>
    <x v="2"/>
  </r>
  <r>
    <x v="1689"/>
    <x v="16"/>
    <x v="0"/>
    <n v="50.2"/>
    <x v="486"/>
    <x v="62"/>
    <d v="2025-03-05T00:00:00"/>
    <s v="F"/>
    <x v="1"/>
    <x v="2"/>
    <x v="0"/>
    <x v="3"/>
    <x v="3"/>
    <x v="9"/>
    <x v="2"/>
  </r>
  <r>
    <x v="1690"/>
    <x v="1"/>
    <x v="2"/>
    <n v="55.3"/>
    <x v="1345"/>
    <x v="62"/>
    <d v="2025-03-07T00:00:00"/>
    <s v="F"/>
    <x v="0"/>
    <x v="4"/>
    <x v="0"/>
    <x v="40"/>
    <x v="2"/>
    <x v="9"/>
    <x v="2"/>
  </r>
  <r>
    <x v="1691"/>
    <x v="6"/>
    <x v="3"/>
    <n v="104.5"/>
    <x v="1346"/>
    <x v="62"/>
    <d v="2025-03-08T00:00:00"/>
    <s v="F"/>
    <x v="1"/>
    <x v="0"/>
    <x v="0"/>
    <x v="7"/>
    <x v="5"/>
    <x v="9"/>
    <x v="2"/>
  </r>
  <r>
    <x v="1692"/>
    <x v="6"/>
    <x v="12"/>
    <n v="66.5"/>
    <x v="751"/>
    <x v="62"/>
    <d v="2025-03-06T00:00:00"/>
    <s v="M"/>
    <x v="1"/>
    <x v="0"/>
    <x v="0"/>
    <x v="7"/>
    <x v="1"/>
    <x v="9"/>
    <x v="1"/>
  </r>
  <r>
    <x v="1693"/>
    <x v="10"/>
    <x v="8"/>
    <n v="38.299999999999997"/>
    <x v="1347"/>
    <x v="62"/>
    <d v="2025-03-05T00:00:00"/>
    <s v="F"/>
    <x v="0"/>
    <x v="0"/>
    <x v="0"/>
    <x v="7"/>
    <x v="3"/>
    <x v="9"/>
    <x v="2"/>
  </r>
  <r>
    <x v="1694"/>
    <x v="6"/>
    <x v="2"/>
    <n v="63.8"/>
    <x v="1348"/>
    <x v="62"/>
    <d v="2025-03-07T00:00:00"/>
    <s v="F"/>
    <x v="1"/>
    <x v="0"/>
    <x v="0"/>
    <x v="8"/>
    <x v="2"/>
    <x v="9"/>
    <x v="2"/>
  </r>
  <r>
    <x v="1695"/>
    <x v="15"/>
    <x v="0"/>
    <n v="21.4"/>
    <x v="1349"/>
    <x v="62"/>
    <d v="2025-03-04T00:00:00"/>
    <s v="M"/>
    <x v="4"/>
    <x v="0"/>
    <x v="0"/>
    <x v="8"/>
    <x v="7"/>
    <x v="9"/>
    <x v="1"/>
  </r>
  <r>
    <x v="1696"/>
    <x v="8"/>
    <x v="12"/>
    <n v="44.1"/>
    <x v="1350"/>
    <x v="62"/>
    <d v="2025-03-06T00:00:00"/>
    <s v="F"/>
    <x v="2"/>
    <x v="0"/>
    <x v="0"/>
    <x v="8"/>
    <x v="1"/>
    <x v="9"/>
    <x v="2"/>
  </r>
  <r>
    <x v="1697"/>
    <x v="5"/>
    <x v="8"/>
    <n v="57.6"/>
    <x v="1351"/>
    <x v="62"/>
    <d v="2025-03-06T00:00:00"/>
    <s v="M"/>
    <x v="1"/>
    <x v="2"/>
    <x v="0"/>
    <x v="8"/>
    <x v="1"/>
    <x v="9"/>
    <x v="1"/>
  </r>
  <r>
    <x v="1698"/>
    <x v="9"/>
    <x v="1"/>
    <n v="20.3"/>
    <x v="1352"/>
    <x v="62"/>
    <d v="2025-03-10T00:00:00"/>
    <s v="F"/>
    <x v="3"/>
    <x v="0"/>
    <x v="0"/>
    <x v="8"/>
    <x v="4"/>
    <x v="9"/>
    <x v="2"/>
  </r>
  <r>
    <x v="1699"/>
    <x v="8"/>
    <x v="0"/>
    <n v="22.9"/>
    <x v="1246"/>
    <x v="62"/>
    <d v="2025-03-06T00:00:00"/>
    <s v="F"/>
    <x v="2"/>
    <x v="2"/>
    <x v="0"/>
    <x v="8"/>
    <x v="1"/>
    <x v="9"/>
    <x v="2"/>
  </r>
  <r>
    <x v="1700"/>
    <x v="6"/>
    <x v="12"/>
    <n v="105.9"/>
    <x v="1353"/>
    <x v="62"/>
    <d v="2025-03-05T00:00:00"/>
    <s v="F"/>
    <x v="1"/>
    <x v="2"/>
    <x v="0"/>
    <x v="17"/>
    <x v="3"/>
    <x v="9"/>
    <x v="2"/>
  </r>
  <r>
    <x v="1701"/>
    <x v="1"/>
    <x v="11"/>
    <n v="37.4"/>
    <x v="1354"/>
    <x v="62"/>
    <d v="2025-03-08T00:00:00"/>
    <s v="M"/>
    <x v="1"/>
    <x v="0"/>
    <x v="0"/>
    <x v="11"/>
    <x v="5"/>
    <x v="9"/>
    <x v="1"/>
  </r>
  <r>
    <x v="1702"/>
    <x v="18"/>
    <x v="1"/>
    <n v="79"/>
    <x v="1355"/>
    <x v="62"/>
    <d v="2025-03-05T00:00:00"/>
    <s v="M"/>
    <x v="2"/>
    <x v="0"/>
    <x v="0"/>
    <x v="28"/>
    <x v="3"/>
    <x v="9"/>
    <x v="1"/>
  </r>
  <r>
    <x v="1703"/>
    <x v="0"/>
    <x v="2"/>
    <n v="19.3"/>
    <x v="1356"/>
    <x v="62"/>
    <d v="2025-03-05T00:00:00"/>
    <s v="F"/>
    <x v="4"/>
    <x v="0"/>
    <x v="0"/>
    <x v="21"/>
    <x v="3"/>
    <x v="9"/>
    <x v="2"/>
  </r>
  <r>
    <x v="1704"/>
    <x v="0"/>
    <x v="0"/>
    <n v="24"/>
    <x v="835"/>
    <x v="62"/>
    <d v="2025-03-05T00:00:00"/>
    <s v="F"/>
    <x v="1"/>
    <x v="0"/>
    <x v="0"/>
    <x v="1"/>
    <x v="3"/>
    <x v="9"/>
    <x v="2"/>
  </r>
  <r>
    <x v="1705"/>
    <x v="6"/>
    <x v="9"/>
    <n v="71.3"/>
    <x v="1357"/>
    <x v="62"/>
    <d v="2025-03-07T00:00:00"/>
    <s v="F"/>
    <x v="2"/>
    <x v="0"/>
    <x v="0"/>
    <x v="2"/>
    <x v="2"/>
    <x v="9"/>
    <x v="2"/>
  </r>
  <r>
    <x v="1706"/>
    <x v="5"/>
    <x v="1"/>
    <n v="166.2"/>
    <x v="1358"/>
    <x v="62"/>
    <d v="2025-03-05T00:00:00"/>
    <s v="M"/>
    <x v="0"/>
    <x v="2"/>
    <x v="0"/>
    <x v="50"/>
    <x v="3"/>
    <x v="9"/>
    <x v="1"/>
  </r>
  <r>
    <x v="1707"/>
    <x v="6"/>
    <x v="0"/>
    <n v="81"/>
    <x v="969"/>
    <x v="62"/>
    <d v="2025-03-05T00:00:00"/>
    <s v="F"/>
    <x v="2"/>
    <x v="1"/>
    <x v="0"/>
    <x v="3"/>
    <x v="3"/>
    <x v="9"/>
    <x v="2"/>
  </r>
  <r>
    <x v="1708"/>
    <x v="10"/>
    <x v="13"/>
    <n v="38.5"/>
    <x v="1359"/>
    <x v="62"/>
    <d v="2025-03-08T00:00:00"/>
    <s v="F"/>
    <x v="0"/>
    <x v="0"/>
    <x v="0"/>
    <x v="3"/>
    <x v="5"/>
    <x v="9"/>
    <x v="2"/>
  </r>
  <r>
    <x v="1709"/>
    <x v="6"/>
    <x v="0"/>
    <n v="86.1"/>
    <x v="1360"/>
    <x v="62"/>
    <d v="2025-03-06T00:00:00"/>
    <s v="F"/>
    <x v="3"/>
    <x v="0"/>
    <x v="0"/>
    <x v="3"/>
    <x v="1"/>
    <x v="9"/>
    <x v="2"/>
  </r>
  <r>
    <x v="1710"/>
    <x v="2"/>
    <x v="9"/>
    <n v="51"/>
    <x v="951"/>
    <x v="62"/>
    <d v="2025-03-05T00:00:00"/>
    <s v="M"/>
    <x v="0"/>
    <x v="1"/>
    <x v="0"/>
    <x v="3"/>
    <x v="3"/>
    <x v="9"/>
    <x v="1"/>
  </r>
  <r>
    <x v="1711"/>
    <x v="3"/>
    <x v="9"/>
    <n v="115.4"/>
    <x v="1361"/>
    <x v="62"/>
    <d v="2025-03-05T00:00:00"/>
    <s v="M"/>
    <x v="0"/>
    <x v="0"/>
    <x v="0"/>
    <x v="3"/>
    <x v="3"/>
    <x v="9"/>
    <x v="1"/>
  </r>
  <r>
    <x v="1712"/>
    <x v="6"/>
    <x v="12"/>
    <n v="176.5"/>
    <x v="1362"/>
    <x v="62"/>
    <d v="2025-03-05T00:00:00"/>
    <s v="F"/>
    <x v="2"/>
    <x v="2"/>
    <x v="0"/>
    <x v="3"/>
    <x v="3"/>
    <x v="9"/>
    <x v="2"/>
  </r>
  <r>
    <x v="1713"/>
    <x v="7"/>
    <x v="2"/>
    <n v="48.9"/>
    <x v="1363"/>
    <x v="62"/>
    <d v="2025-03-05T00:00:00"/>
    <s v="M"/>
    <x v="4"/>
    <x v="0"/>
    <x v="0"/>
    <x v="3"/>
    <x v="3"/>
    <x v="9"/>
    <x v="1"/>
  </r>
  <r>
    <x v="1714"/>
    <x v="8"/>
    <x v="2"/>
    <n v="18.100000000000001"/>
    <x v="1364"/>
    <x v="62"/>
    <d v="2025-03-11T00:00:00"/>
    <s v="F"/>
    <x v="1"/>
    <x v="2"/>
    <x v="0"/>
    <x v="29"/>
    <x v="6"/>
    <x v="9"/>
    <x v="2"/>
  </r>
  <r>
    <x v="1715"/>
    <x v="2"/>
    <x v="1"/>
    <n v="118.5"/>
    <x v="1365"/>
    <x v="62"/>
    <d v="2025-03-07T00:00:00"/>
    <s v="M"/>
    <x v="1"/>
    <x v="2"/>
    <x v="0"/>
    <x v="16"/>
    <x v="2"/>
    <x v="9"/>
    <x v="1"/>
  </r>
  <r>
    <x v="1716"/>
    <x v="15"/>
    <x v="3"/>
    <n v="59.1"/>
    <x v="1366"/>
    <x v="62"/>
    <d v="2025-03-05T00:00:00"/>
    <s v="F"/>
    <x v="3"/>
    <x v="0"/>
    <x v="0"/>
    <x v="25"/>
    <x v="3"/>
    <x v="9"/>
    <x v="2"/>
  </r>
  <r>
    <x v="1717"/>
    <x v="4"/>
    <x v="0"/>
    <n v="21.2"/>
    <x v="333"/>
    <x v="62"/>
    <d v="2025-03-05T00:00:00"/>
    <s v="F"/>
    <x v="0"/>
    <x v="1"/>
    <x v="0"/>
    <x v="6"/>
    <x v="3"/>
    <x v="9"/>
    <x v="2"/>
  </r>
  <r>
    <x v="1718"/>
    <x v="6"/>
    <x v="1"/>
    <n v="68.8"/>
    <x v="1367"/>
    <x v="62"/>
    <d v="2025-03-09T00:00:00"/>
    <s v="F"/>
    <x v="3"/>
    <x v="2"/>
    <x v="0"/>
    <x v="6"/>
    <x v="0"/>
    <x v="9"/>
    <x v="2"/>
  </r>
  <r>
    <x v="1719"/>
    <x v="6"/>
    <x v="1"/>
    <n v="65.400000000000006"/>
    <x v="1272"/>
    <x v="62"/>
    <d v="2025-03-08T00:00:00"/>
    <s v="F"/>
    <x v="0"/>
    <x v="0"/>
    <x v="0"/>
    <x v="6"/>
    <x v="5"/>
    <x v="9"/>
    <x v="2"/>
  </r>
  <r>
    <x v="1720"/>
    <x v="12"/>
    <x v="9"/>
    <n v="66.3"/>
    <x v="1278"/>
    <x v="63"/>
    <d v="2025-03-08T00:00:00"/>
    <s v="F"/>
    <x v="4"/>
    <x v="0"/>
    <x v="0"/>
    <x v="6"/>
    <x v="2"/>
    <x v="9"/>
    <x v="2"/>
  </r>
  <r>
    <x v="1721"/>
    <x v="6"/>
    <x v="2"/>
    <n v="97.5"/>
    <x v="1368"/>
    <x v="63"/>
    <d v="2025-03-05T00:00:00"/>
    <s v="M"/>
    <x v="3"/>
    <x v="0"/>
    <x v="0"/>
    <x v="8"/>
    <x v="7"/>
    <x v="9"/>
    <x v="1"/>
  </r>
  <r>
    <x v="1722"/>
    <x v="1"/>
    <x v="1"/>
    <n v="44"/>
    <x v="1155"/>
    <x v="63"/>
    <d v="2025-03-08T00:00:00"/>
    <s v="F"/>
    <x v="1"/>
    <x v="2"/>
    <x v="0"/>
    <x v="8"/>
    <x v="2"/>
    <x v="9"/>
    <x v="2"/>
  </r>
  <r>
    <x v="1723"/>
    <x v="0"/>
    <x v="0"/>
    <n v="21.9"/>
    <x v="731"/>
    <x v="63"/>
    <d v="2025-03-06T00:00:00"/>
    <s v="M"/>
    <x v="0"/>
    <x v="0"/>
    <x v="0"/>
    <x v="8"/>
    <x v="3"/>
    <x v="9"/>
    <x v="1"/>
  </r>
  <r>
    <x v="1724"/>
    <x v="4"/>
    <x v="3"/>
    <n v="21.5"/>
    <x v="379"/>
    <x v="63"/>
    <d v="2025-03-07T00:00:00"/>
    <s v="F"/>
    <x v="1"/>
    <x v="2"/>
    <x v="0"/>
    <x v="9"/>
    <x v="1"/>
    <x v="9"/>
    <x v="2"/>
  </r>
  <r>
    <x v="1725"/>
    <x v="12"/>
    <x v="13"/>
    <n v="133"/>
    <x v="1369"/>
    <x v="63"/>
    <d v="2025-03-06T00:00:00"/>
    <s v="O"/>
    <x v="0"/>
    <x v="2"/>
    <x v="0"/>
    <x v="10"/>
    <x v="3"/>
    <x v="9"/>
    <x v="3"/>
  </r>
  <r>
    <x v="1726"/>
    <x v="8"/>
    <x v="1"/>
    <n v="47.7"/>
    <x v="233"/>
    <x v="63"/>
    <d v="2025-03-09T00:00:00"/>
    <s v="M"/>
    <x v="0"/>
    <x v="2"/>
    <x v="0"/>
    <x v="10"/>
    <x v="5"/>
    <x v="9"/>
    <x v="1"/>
  </r>
  <r>
    <x v="1727"/>
    <x v="16"/>
    <x v="2"/>
    <n v="58.1"/>
    <x v="889"/>
    <x v="63"/>
    <d v="2025-03-06T00:00:00"/>
    <s v="F"/>
    <x v="0"/>
    <x v="0"/>
    <x v="0"/>
    <x v="11"/>
    <x v="3"/>
    <x v="9"/>
    <x v="2"/>
  </r>
  <r>
    <x v="1728"/>
    <x v="12"/>
    <x v="12"/>
    <n v="66.599999999999994"/>
    <x v="1370"/>
    <x v="63"/>
    <d v="2025-03-06T00:00:00"/>
    <s v=""/>
    <x v="0"/>
    <x v="0"/>
    <x v="0"/>
    <x v="11"/>
    <x v="3"/>
    <x v="9"/>
    <x v="0"/>
  </r>
  <r>
    <x v="1729"/>
    <x v="9"/>
    <x v="0"/>
    <n v="24.1"/>
    <x v="1057"/>
    <x v="63"/>
    <d v="2025-03-08T00:00:00"/>
    <s v="M"/>
    <x v="2"/>
    <x v="1"/>
    <x v="0"/>
    <x v="19"/>
    <x v="2"/>
    <x v="9"/>
    <x v="1"/>
  </r>
  <r>
    <x v="1730"/>
    <x v="10"/>
    <x v="9"/>
    <n v="51.5"/>
    <x v="1371"/>
    <x v="63"/>
    <d v="2025-03-10T00:00:00"/>
    <s v="F"/>
    <x v="0"/>
    <x v="0"/>
    <x v="0"/>
    <x v="13"/>
    <x v="0"/>
    <x v="9"/>
    <x v="2"/>
  </r>
  <r>
    <x v="1731"/>
    <x v="0"/>
    <x v="5"/>
    <n v="25.8"/>
    <x v="674"/>
    <x v="63"/>
    <d v="2025-03-09T00:00:00"/>
    <s v="F"/>
    <x v="3"/>
    <x v="4"/>
    <x v="0"/>
    <x v="21"/>
    <x v="5"/>
    <x v="9"/>
    <x v="2"/>
  </r>
  <r>
    <x v="1732"/>
    <x v="9"/>
    <x v="12"/>
    <n v="47.7"/>
    <x v="1372"/>
    <x v="63"/>
    <d v="2025-03-05T00:00:00"/>
    <s v="F"/>
    <x v="0"/>
    <x v="1"/>
    <x v="0"/>
    <x v="21"/>
    <x v="7"/>
    <x v="9"/>
    <x v="2"/>
  </r>
  <r>
    <x v="1733"/>
    <x v="7"/>
    <x v="9"/>
    <n v="73.599999999999994"/>
    <x v="1373"/>
    <x v="63"/>
    <d v="2025-03-09T00:00:00"/>
    <s v="M"/>
    <x v="1"/>
    <x v="0"/>
    <x v="0"/>
    <x v="21"/>
    <x v="5"/>
    <x v="9"/>
    <x v="1"/>
  </r>
  <r>
    <x v="1734"/>
    <x v="5"/>
    <x v="3"/>
    <n v="91.2"/>
    <x v="1374"/>
    <x v="63"/>
    <d v="2025-03-06T00:00:00"/>
    <s v="M"/>
    <x v="1"/>
    <x v="2"/>
    <x v="0"/>
    <x v="21"/>
    <x v="3"/>
    <x v="9"/>
    <x v="1"/>
  </r>
  <r>
    <x v="1735"/>
    <x v="1"/>
    <x v="8"/>
    <n v="36.200000000000003"/>
    <x v="1375"/>
    <x v="63"/>
    <d v="2025-03-05T00:00:00"/>
    <s v="M"/>
    <x v="2"/>
    <x v="2"/>
    <x v="0"/>
    <x v="1"/>
    <x v="7"/>
    <x v="9"/>
    <x v="1"/>
  </r>
  <r>
    <x v="1736"/>
    <x v="9"/>
    <x v="8"/>
    <n v="98"/>
    <x v="1376"/>
    <x v="63"/>
    <d v="2025-03-09T00:00:00"/>
    <s v="F"/>
    <x v="2"/>
    <x v="0"/>
    <x v="0"/>
    <x v="2"/>
    <x v="5"/>
    <x v="9"/>
    <x v="2"/>
  </r>
  <r>
    <x v="1737"/>
    <x v="1"/>
    <x v="8"/>
    <n v="43.6"/>
    <x v="1377"/>
    <x v="63"/>
    <d v="2025-03-06T00:00:00"/>
    <s v="F"/>
    <x v="2"/>
    <x v="0"/>
    <x v="0"/>
    <x v="22"/>
    <x v="3"/>
    <x v="9"/>
    <x v="2"/>
  </r>
  <r>
    <x v="1738"/>
    <x v="8"/>
    <x v="7"/>
    <n v="37.799999999999997"/>
    <x v="1378"/>
    <x v="63"/>
    <d v="2025-03-05T00:00:00"/>
    <s v="O"/>
    <x v="0"/>
    <x v="0"/>
    <x v="0"/>
    <x v="50"/>
    <x v="7"/>
    <x v="9"/>
    <x v="3"/>
  </r>
  <r>
    <x v="1739"/>
    <x v="17"/>
    <x v="9"/>
    <n v="63.7"/>
    <x v="46"/>
    <x v="63"/>
    <d v="2025-03-08T00:00:00"/>
    <s v="F"/>
    <x v="2"/>
    <x v="1"/>
    <x v="0"/>
    <x v="3"/>
    <x v="2"/>
    <x v="9"/>
    <x v="2"/>
  </r>
  <r>
    <x v="1740"/>
    <x v="5"/>
    <x v="11"/>
    <n v="62.9"/>
    <x v="1379"/>
    <x v="63"/>
    <d v="2025-03-10T00:00:00"/>
    <s v="M"/>
    <x v="3"/>
    <x v="2"/>
    <x v="0"/>
    <x v="3"/>
    <x v="0"/>
    <x v="9"/>
    <x v="1"/>
  </r>
  <r>
    <x v="1741"/>
    <x v="6"/>
    <x v="3"/>
    <n v="61.7"/>
    <x v="245"/>
    <x v="63"/>
    <d v="2025-03-08T00:00:00"/>
    <s v="F"/>
    <x v="2"/>
    <x v="2"/>
    <x v="0"/>
    <x v="3"/>
    <x v="2"/>
    <x v="9"/>
    <x v="2"/>
  </r>
  <r>
    <x v="1742"/>
    <x v="18"/>
    <x v="21"/>
    <n v="36.5"/>
    <x v="1380"/>
    <x v="63"/>
    <d v="2025-03-06T00:00:00"/>
    <s v="M"/>
    <x v="0"/>
    <x v="2"/>
    <x v="0"/>
    <x v="3"/>
    <x v="3"/>
    <x v="9"/>
    <x v="1"/>
  </r>
  <r>
    <x v="1743"/>
    <x v="11"/>
    <x v="2"/>
    <n v="98.6"/>
    <x v="1381"/>
    <x v="63"/>
    <d v="2025-03-08T00:00:00"/>
    <s v="O"/>
    <x v="0"/>
    <x v="4"/>
    <x v="0"/>
    <x v="3"/>
    <x v="2"/>
    <x v="9"/>
    <x v="3"/>
  </r>
  <r>
    <x v="1744"/>
    <x v="8"/>
    <x v="1"/>
    <n v="19.2"/>
    <x v="1139"/>
    <x v="63"/>
    <d v="2025-03-15T00:00:00"/>
    <s v="M"/>
    <x v="0"/>
    <x v="0"/>
    <x v="0"/>
    <x v="3"/>
    <x v="14"/>
    <x v="9"/>
    <x v="1"/>
  </r>
  <r>
    <x v="1745"/>
    <x v="3"/>
    <x v="13"/>
    <n v="55.6"/>
    <x v="335"/>
    <x v="63"/>
    <d v="2025-03-09T00:00:00"/>
    <s v="F"/>
    <x v="0"/>
    <x v="2"/>
    <x v="0"/>
    <x v="3"/>
    <x v="5"/>
    <x v="9"/>
    <x v="2"/>
  </r>
  <r>
    <x v="1746"/>
    <x v="5"/>
    <x v="13"/>
    <n v="56.4"/>
    <x v="1382"/>
    <x v="63"/>
    <d v="2025-03-06T00:00:00"/>
    <s v="F"/>
    <x v="1"/>
    <x v="0"/>
    <x v="0"/>
    <x v="3"/>
    <x v="3"/>
    <x v="9"/>
    <x v="2"/>
  </r>
  <r>
    <x v="1747"/>
    <x v="4"/>
    <x v="8"/>
    <n v="43.1"/>
    <x v="1383"/>
    <x v="63"/>
    <d v="2025-03-09T00:00:00"/>
    <s v="F"/>
    <x v="4"/>
    <x v="0"/>
    <x v="0"/>
    <x v="3"/>
    <x v="5"/>
    <x v="9"/>
    <x v="2"/>
  </r>
  <r>
    <x v="1748"/>
    <x v="1"/>
    <x v="1"/>
    <n v="77.3"/>
    <x v="1384"/>
    <x v="63"/>
    <d v="2025-03-07T00:00:00"/>
    <s v="M"/>
    <x v="0"/>
    <x v="0"/>
    <x v="0"/>
    <x v="6"/>
    <x v="1"/>
    <x v="9"/>
    <x v="1"/>
  </r>
  <r>
    <x v="1749"/>
    <x v="9"/>
    <x v="8"/>
    <n v="38.299999999999997"/>
    <x v="1347"/>
    <x v="63"/>
    <d v="2025-03-06T00:00:00"/>
    <s v="M"/>
    <x v="0"/>
    <x v="0"/>
    <x v="0"/>
    <x v="7"/>
    <x v="3"/>
    <x v="9"/>
    <x v="1"/>
  </r>
  <r>
    <x v="1750"/>
    <x v="0"/>
    <x v="3"/>
    <n v="16.8"/>
    <x v="557"/>
    <x v="63"/>
    <d v="2025-03-08T00:00:00"/>
    <s v="M"/>
    <x v="2"/>
    <x v="1"/>
    <x v="0"/>
    <x v="8"/>
    <x v="2"/>
    <x v="9"/>
    <x v="1"/>
  </r>
  <r>
    <x v="1751"/>
    <x v="2"/>
    <x v="2"/>
    <n v="63.2"/>
    <x v="1385"/>
    <x v="63"/>
    <d v="2025-03-06T00:00:00"/>
    <s v="F"/>
    <x v="0"/>
    <x v="2"/>
    <x v="0"/>
    <x v="8"/>
    <x v="3"/>
    <x v="9"/>
    <x v="2"/>
  </r>
  <r>
    <x v="1752"/>
    <x v="14"/>
    <x v="44"/>
    <n v="39.700000000000003"/>
    <x v="1386"/>
    <x v="63"/>
    <d v="2025-03-06T00:00:00"/>
    <s v="M"/>
    <x v="0"/>
    <x v="0"/>
    <x v="0"/>
    <x v="8"/>
    <x v="3"/>
    <x v="9"/>
    <x v="1"/>
  </r>
  <r>
    <x v="1753"/>
    <x v="10"/>
    <x v="2"/>
    <n v="45.8"/>
    <x v="1387"/>
    <x v="63"/>
    <d v="2025-03-06T00:00:00"/>
    <s v="F"/>
    <x v="1"/>
    <x v="2"/>
    <x v="0"/>
    <x v="8"/>
    <x v="3"/>
    <x v="9"/>
    <x v="2"/>
  </r>
  <r>
    <x v="1754"/>
    <x v="0"/>
    <x v="13"/>
    <n v="12.4"/>
    <x v="610"/>
    <x v="63"/>
    <d v="2025-03-08T00:00:00"/>
    <s v="M"/>
    <x v="0"/>
    <x v="0"/>
    <x v="0"/>
    <x v="8"/>
    <x v="2"/>
    <x v="9"/>
    <x v="1"/>
  </r>
  <r>
    <x v="1755"/>
    <x v="14"/>
    <x v="2"/>
    <n v="50.8"/>
    <x v="1388"/>
    <x v="64"/>
    <d v="2025-03-06T00:00:00"/>
    <s v="F"/>
    <x v="4"/>
    <x v="0"/>
    <x v="0"/>
    <x v="17"/>
    <x v="7"/>
    <x v="9"/>
    <x v="2"/>
  </r>
  <r>
    <x v="1756"/>
    <x v="9"/>
    <x v="0"/>
    <n v="76"/>
    <x v="998"/>
    <x v="64"/>
    <d v="2025-03-10T00:00:00"/>
    <s v="O"/>
    <x v="2"/>
    <x v="2"/>
    <x v="0"/>
    <x v="17"/>
    <x v="5"/>
    <x v="9"/>
    <x v="3"/>
  </r>
  <r>
    <x v="1757"/>
    <x v="1"/>
    <x v="1"/>
    <n v="51.9"/>
    <x v="1389"/>
    <x v="64"/>
    <d v="2025-03-07T00:00:00"/>
    <s v="M"/>
    <x v="1"/>
    <x v="2"/>
    <x v="0"/>
    <x v="26"/>
    <x v="3"/>
    <x v="9"/>
    <x v="1"/>
  </r>
  <r>
    <x v="1758"/>
    <x v="2"/>
    <x v="1"/>
    <n v="93.4"/>
    <x v="1390"/>
    <x v="64"/>
    <d v="2025-03-13T00:00:00"/>
    <s v="M"/>
    <x v="0"/>
    <x v="3"/>
    <x v="0"/>
    <x v="11"/>
    <x v="6"/>
    <x v="9"/>
    <x v="1"/>
  </r>
  <r>
    <x v="1759"/>
    <x v="7"/>
    <x v="13"/>
    <n v="30.8"/>
    <x v="827"/>
    <x v="64"/>
    <d v="2025-03-09T00:00:00"/>
    <s v="F"/>
    <x v="1"/>
    <x v="0"/>
    <x v="0"/>
    <x v="11"/>
    <x v="2"/>
    <x v="9"/>
    <x v="2"/>
  </r>
  <r>
    <x v="1760"/>
    <x v="2"/>
    <x v="0"/>
    <n v="143.19999999999999"/>
    <x v="1391"/>
    <x v="64"/>
    <d v="2025-03-09T00:00:00"/>
    <s v="M"/>
    <x v="2"/>
    <x v="0"/>
    <x v="0"/>
    <x v="11"/>
    <x v="2"/>
    <x v="9"/>
    <x v="1"/>
  </r>
  <r>
    <x v="1761"/>
    <x v="6"/>
    <x v="5"/>
    <n v="40.4"/>
    <x v="1392"/>
    <x v="64"/>
    <d v="2025-03-08T00:00:00"/>
    <s v="M"/>
    <x v="2"/>
    <x v="2"/>
    <x v="0"/>
    <x v="18"/>
    <x v="1"/>
    <x v="9"/>
    <x v="1"/>
  </r>
  <r>
    <x v="1762"/>
    <x v="2"/>
    <x v="10"/>
    <n v="131.5"/>
    <x v="1393"/>
    <x v="64"/>
    <d v="2025-03-08T00:00:00"/>
    <s v="M"/>
    <x v="1"/>
    <x v="1"/>
    <x v="0"/>
    <x v="18"/>
    <x v="1"/>
    <x v="9"/>
    <x v="1"/>
  </r>
  <r>
    <x v="1763"/>
    <x v="18"/>
    <x v="3"/>
    <n v="61.6"/>
    <x v="348"/>
    <x v="64"/>
    <d v="2025-03-07T00:00:00"/>
    <s v="M"/>
    <x v="2"/>
    <x v="0"/>
    <x v="0"/>
    <x v="21"/>
    <x v="3"/>
    <x v="9"/>
    <x v="1"/>
  </r>
  <r>
    <x v="1764"/>
    <x v="9"/>
    <x v="9"/>
    <n v="32.700000000000003"/>
    <x v="838"/>
    <x v="64"/>
    <d v="2025-03-08T00:00:00"/>
    <s v="M"/>
    <x v="2"/>
    <x v="0"/>
    <x v="0"/>
    <x v="1"/>
    <x v="1"/>
    <x v="9"/>
    <x v="1"/>
  </r>
  <r>
    <x v="1765"/>
    <x v="0"/>
    <x v="7"/>
    <n v="13.7"/>
    <x v="383"/>
    <x v="64"/>
    <d v="2025-03-07T00:00:00"/>
    <s v="M"/>
    <x v="0"/>
    <x v="2"/>
    <x v="0"/>
    <x v="3"/>
    <x v="3"/>
    <x v="9"/>
    <x v="1"/>
  </r>
  <r>
    <x v="1766"/>
    <x v="0"/>
    <x v="12"/>
    <n v="32.1"/>
    <x v="58"/>
    <x v="64"/>
    <d v="2025-03-07T00:00:00"/>
    <s v="M"/>
    <x v="4"/>
    <x v="1"/>
    <x v="0"/>
    <x v="3"/>
    <x v="3"/>
    <x v="9"/>
    <x v="1"/>
  </r>
  <r>
    <x v="1767"/>
    <x v="14"/>
    <x v="8"/>
    <n v="12"/>
    <x v="854"/>
    <x v="64"/>
    <d v="2025-03-07T00:00:00"/>
    <s v="M"/>
    <x v="1"/>
    <x v="0"/>
    <x v="0"/>
    <x v="24"/>
    <x v="3"/>
    <x v="9"/>
    <x v="1"/>
  </r>
  <r>
    <x v="1768"/>
    <x v="12"/>
    <x v="0"/>
    <n v="64.3"/>
    <x v="1394"/>
    <x v="64"/>
    <d v="2025-03-08T00:00:00"/>
    <s v="F"/>
    <x v="2"/>
    <x v="2"/>
    <x v="0"/>
    <x v="6"/>
    <x v="1"/>
    <x v="9"/>
    <x v="2"/>
  </r>
  <r>
    <x v="1769"/>
    <x v="1"/>
    <x v="2"/>
    <n v="58.2"/>
    <x v="1395"/>
    <x v="64"/>
    <d v="2025-03-08T00:00:00"/>
    <s v="F"/>
    <x v="1"/>
    <x v="2"/>
    <x v="0"/>
    <x v="6"/>
    <x v="1"/>
    <x v="9"/>
    <x v="2"/>
  </r>
  <r>
    <x v="1770"/>
    <x v="6"/>
    <x v="12"/>
    <n v="59.2"/>
    <x v="1396"/>
    <x v="64"/>
    <d v="2025-03-06T00:00:00"/>
    <s v="M"/>
    <x v="1"/>
    <x v="2"/>
    <x v="0"/>
    <x v="6"/>
    <x v="7"/>
    <x v="9"/>
    <x v="1"/>
  </r>
  <r>
    <x v="1771"/>
    <x v="10"/>
    <x v="5"/>
    <n v="35.6"/>
    <x v="590"/>
    <x v="64"/>
    <d v="2025-03-13T00:00:00"/>
    <s v="M"/>
    <x v="0"/>
    <x v="2"/>
    <x v="0"/>
    <x v="8"/>
    <x v="6"/>
    <x v="9"/>
    <x v="1"/>
  </r>
  <r>
    <x v="1772"/>
    <x v="16"/>
    <x v="8"/>
    <n v="37"/>
    <x v="1397"/>
    <x v="64"/>
    <d v="2025-03-10T00:00:00"/>
    <s v="F"/>
    <x v="2"/>
    <x v="1"/>
    <x v="0"/>
    <x v="8"/>
    <x v="5"/>
    <x v="9"/>
    <x v="2"/>
  </r>
  <r>
    <x v="1773"/>
    <x v="1"/>
    <x v="15"/>
    <n v="80.8"/>
    <x v="1398"/>
    <x v="64"/>
    <d v="2025-03-08T00:00:00"/>
    <s v="F"/>
    <x v="0"/>
    <x v="0"/>
    <x v="0"/>
    <x v="8"/>
    <x v="1"/>
    <x v="9"/>
    <x v="2"/>
  </r>
  <r>
    <x v="1774"/>
    <x v="8"/>
    <x v="1"/>
    <n v="63.2"/>
    <x v="628"/>
    <x v="64"/>
    <d v="2025-03-07T00:00:00"/>
    <s v="M"/>
    <x v="0"/>
    <x v="1"/>
    <x v="0"/>
    <x v="8"/>
    <x v="3"/>
    <x v="9"/>
    <x v="1"/>
  </r>
  <r>
    <x v="1775"/>
    <x v="3"/>
    <x v="1"/>
    <n v="40.799999999999997"/>
    <x v="330"/>
    <x v="64"/>
    <d v="2025-03-08T00:00:00"/>
    <s v="M"/>
    <x v="0"/>
    <x v="1"/>
    <x v="0"/>
    <x v="17"/>
    <x v="1"/>
    <x v="9"/>
    <x v="1"/>
  </r>
  <r>
    <x v="1776"/>
    <x v="13"/>
    <x v="13"/>
    <n v="25.7"/>
    <x v="1399"/>
    <x v="64"/>
    <d v="2025-03-08T00:00:00"/>
    <s v="M"/>
    <x v="4"/>
    <x v="0"/>
    <x v="0"/>
    <x v="18"/>
    <x v="1"/>
    <x v="9"/>
    <x v="1"/>
  </r>
  <r>
    <x v="1777"/>
    <x v="16"/>
    <x v="1"/>
    <n v="49.9"/>
    <x v="350"/>
    <x v="64"/>
    <d v="2025-03-09T00:00:00"/>
    <s v="M"/>
    <x v="0"/>
    <x v="0"/>
    <x v="0"/>
    <x v="20"/>
    <x v="2"/>
    <x v="9"/>
    <x v="1"/>
  </r>
  <r>
    <x v="1778"/>
    <x v="8"/>
    <x v="1"/>
    <n v="20.2"/>
    <x v="1400"/>
    <x v="64"/>
    <d v="2025-03-08T00:00:00"/>
    <s v="F"/>
    <x v="3"/>
    <x v="0"/>
    <x v="0"/>
    <x v="21"/>
    <x v="1"/>
    <x v="9"/>
    <x v="2"/>
  </r>
  <r>
    <x v="1779"/>
    <x v="6"/>
    <x v="2"/>
    <n v="48.4"/>
    <x v="1401"/>
    <x v="64"/>
    <d v="2025-03-11T00:00:00"/>
    <s v="F"/>
    <x v="0"/>
    <x v="2"/>
    <x v="0"/>
    <x v="21"/>
    <x v="0"/>
    <x v="9"/>
    <x v="2"/>
  </r>
  <r>
    <x v="1780"/>
    <x v="6"/>
    <x v="1"/>
    <n v="81"/>
    <x v="915"/>
    <x v="64"/>
    <d v="2025-03-07T00:00:00"/>
    <s v="F"/>
    <x v="1"/>
    <x v="2"/>
    <x v="0"/>
    <x v="21"/>
    <x v="3"/>
    <x v="9"/>
    <x v="2"/>
  </r>
  <r>
    <x v="1781"/>
    <x v="8"/>
    <x v="13"/>
    <n v="19.899999999999999"/>
    <x v="1402"/>
    <x v="64"/>
    <d v="2025-03-09T00:00:00"/>
    <s v="F"/>
    <x v="0"/>
    <x v="1"/>
    <x v="0"/>
    <x v="22"/>
    <x v="2"/>
    <x v="9"/>
    <x v="2"/>
  </r>
  <r>
    <x v="1782"/>
    <x v="4"/>
    <x v="12"/>
    <n v="32.200000000000003"/>
    <x v="1403"/>
    <x v="64"/>
    <d v="2025-03-16T00:00:00"/>
    <s v="M"/>
    <x v="0"/>
    <x v="0"/>
    <x v="0"/>
    <x v="22"/>
    <x v="14"/>
    <x v="9"/>
    <x v="1"/>
  </r>
  <r>
    <x v="1783"/>
    <x v="5"/>
    <x v="2"/>
    <n v="76.8"/>
    <x v="1404"/>
    <x v="64"/>
    <d v="2025-03-07T00:00:00"/>
    <s v="F"/>
    <x v="0"/>
    <x v="1"/>
    <x v="0"/>
    <x v="3"/>
    <x v="3"/>
    <x v="9"/>
    <x v="2"/>
  </r>
  <r>
    <x v="1784"/>
    <x v="6"/>
    <x v="1"/>
    <n v="41.9"/>
    <x v="1405"/>
    <x v="64"/>
    <d v="2025-03-08T00:00:00"/>
    <s v="F"/>
    <x v="0"/>
    <x v="0"/>
    <x v="0"/>
    <x v="3"/>
    <x v="1"/>
    <x v="9"/>
    <x v="2"/>
  </r>
  <r>
    <x v="1785"/>
    <x v="0"/>
    <x v="3"/>
    <n v="34"/>
    <x v="1248"/>
    <x v="64"/>
    <d v="2025-03-08T00:00:00"/>
    <s v="F"/>
    <x v="1"/>
    <x v="2"/>
    <x v="0"/>
    <x v="3"/>
    <x v="1"/>
    <x v="9"/>
    <x v="2"/>
  </r>
  <r>
    <x v="1786"/>
    <x v="7"/>
    <x v="3"/>
    <n v="61.3"/>
    <x v="1406"/>
    <x v="64"/>
    <d v="2025-03-06T00:00:00"/>
    <s v="F"/>
    <x v="4"/>
    <x v="2"/>
    <x v="0"/>
    <x v="3"/>
    <x v="7"/>
    <x v="9"/>
    <x v="2"/>
  </r>
  <r>
    <x v="1787"/>
    <x v="9"/>
    <x v="0"/>
    <n v="54.7"/>
    <x v="1407"/>
    <x v="65"/>
    <d v="2025-03-08T00:00:00"/>
    <s v="M"/>
    <x v="0"/>
    <x v="1"/>
    <x v="0"/>
    <x v="3"/>
    <x v="3"/>
    <x v="9"/>
    <x v="1"/>
  </r>
  <r>
    <x v="1788"/>
    <x v="6"/>
    <x v="7"/>
    <n v="84.7"/>
    <x v="1408"/>
    <x v="65"/>
    <d v="2025-03-11T00:00:00"/>
    <s v="F"/>
    <x v="0"/>
    <x v="0"/>
    <x v="0"/>
    <x v="3"/>
    <x v="5"/>
    <x v="9"/>
    <x v="2"/>
  </r>
  <r>
    <x v="1789"/>
    <x v="1"/>
    <x v="2"/>
    <n v="93.4"/>
    <x v="1409"/>
    <x v="65"/>
    <d v="2025-03-11T00:00:00"/>
    <s v="F"/>
    <x v="3"/>
    <x v="0"/>
    <x v="0"/>
    <x v="3"/>
    <x v="5"/>
    <x v="9"/>
    <x v="2"/>
  </r>
  <r>
    <x v="1790"/>
    <x v="8"/>
    <x v="9"/>
    <n v="27"/>
    <x v="340"/>
    <x v="65"/>
    <d v="2025-03-10T00:00:00"/>
    <s v="M"/>
    <x v="0"/>
    <x v="1"/>
    <x v="0"/>
    <x v="3"/>
    <x v="2"/>
    <x v="9"/>
    <x v="1"/>
  </r>
  <r>
    <x v="1791"/>
    <x v="0"/>
    <x v="12"/>
    <n v="10.9"/>
    <x v="1195"/>
    <x v="65"/>
    <d v="2025-03-08T00:00:00"/>
    <s v="M"/>
    <x v="2"/>
    <x v="0"/>
    <x v="0"/>
    <x v="3"/>
    <x v="3"/>
    <x v="9"/>
    <x v="1"/>
  </r>
  <r>
    <x v="1792"/>
    <x v="16"/>
    <x v="2"/>
    <n v="48"/>
    <x v="1410"/>
    <x v="65"/>
    <d v="2025-03-12T00:00:00"/>
    <s v="F"/>
    <x v="4"/>
    <x v="0"/>
    <x v="0"/>
    <x v="3"/>
    <x v="0"/>
    <x v="9"/>
    <x v="2"/>
  </r>
  <r>
    <x v="1793"/>
    <x v="5"/>
    <x v="1"/>
    <n v="67.900000000000006"/>
    <x v="1411"/>
    <x v="65"/>
    <d v="2025-03-08T00:00:00"/>
    <s v="M"/>
    <x v="0"/>
    <x v="2"/>
    <x v="0"/>
    <x v="23"/>
    <x v="3"/>
    <x v="9"/>
    <x v="1"/>
  </r>
  <r>
    <x v="1794"/>
    <x v="4"/>
    <x v="2"/>
    <n v="36"/>
    <x v="807"/>
    <x v="65"/>
    <d v="2025-03-08T00:00:00"/>
    <s v="M"/>
    <x v="1"/>
    <x v="0"/>
    <x v="0"/>
    <x v="6"/>
    <x v="3"/>
    <x v="9"/>
    <x v="1"/>
  </r>
  <r>
    <x v="1795"/>
    <x v="2"/>
    <x v="0"/>
    <n v="128.80000000000001"/>
    <x v="1403"/>
    <x v="65"/>
    <d v="2025-03-08T00:00:00"/>
    <s v="M"/>
    <x v="4"/>
    <x v="2"/>
    <x v="0"/>
    <x v="6"/>
    <x v="3"/>
    <x v="9"/>
    <x v="1"/>
  </r>
  <r>
    <x v="1796"/>
    <x v="18"/>
    <x v="3"/>
    <n v="33.299999999999997"/>
    <x v="1412"/>
    <x v="65"/>
    <d v="2025-03-08T00:00:00"/>
    <s v="F"/>
    <x v="3"/>
    <x v="0"/>
    <x v="0"/>
    <x v="8"/>
    <x v="3"/>
    <x v="9"/>
    <x v="2"/>
  </r>
  <r>
    <x v="1797"/>
    <x v="10"/>
    <x v="2"/>
    <n v="37.799999999999997"/>
    <x v="1413"/>
    <x v="65"/>
    <d v="2025-03-09T00:00:00"/>
    <s v="M"/>
    <x v="1"/>
    <x v="2"/>
    <x v="0"/>
    <x v="8"/>
    <x v="1"/>
    <x v="9"/>
    <x v="1"/>
  </r>
  <r>
    <x v="1798"/>
    <x v="5"/>
    <x v="2"/>
    <n v="26"/>
    <x v="292"/>
    <x v="65"/>
    <d v="2025-03-12T00:00:00"/>
    <s v="F"/>
    <x v="0"/>
    <x v="0"/>
    <x v="0"/>
    <x v="8"/>
    <x v="0"/>
    <x v="9"/>
    <x v="2"/>
  </r>
  <r>
    <x v="1799"/>
    <x v="8"/>
    <x v="10"/>
    <n v="28.3"/>
    <x v="1414"/>
    <x v="65"/>
    <d v="2025-03-08T00:00:00"/>
    <s v="F"/>
    <x v="3"/>
    <x v="4"/>
    <x v="0"/>
    <x v="8"/>
    <x v="3"/>
    <x v="9"/>
    <x v="2"/>
  </r>
  <r>
    <x v="1800"/>
    <x v="8"/>
    <x v="12"/>
    <n v="31.3"/>
    <x v="1415"/>
    <x v="65"/>
    <d v="2025-03-07T00:00:00"/>
    <s v="F"/>
    <x v="0"/>
    <x v="0"/>
    <x v="0"/>
    <x v="8"/>
    <x v="7"/>
    <x v="9"/>
    <x v="2"/>
  </r>
  <r>
    <x v="1801"/>
    <x v="7"/>
    <x v="2"/>
    <n v="69.5"/>
    <x v="1416"/>
    <x v="65"/>
    <d v="2025-03-08T00:00:00"/>
    <s v="F"/>
    <x v="3"/>
    <x v="2"/>
    <x v="0"/>
    <x v="8"/>
    <x v="3"/>
    <x v="9"/>
    <x v="2"/>
  </r>
  <r>
    <x v="1802"/>
    <x v="0"/>
    <x v="1"/>
    <n v="16.7"/>
    <x v="1417"/>
    <x v="65"/>
    <d v="2025-03-08T00:00:00"/>
    <s v="F"/>
    <x v="3"/>
    <x v="1"/>
    <x v="0"/>
    <x v="8"/>
    <x v="3"/>
    <x v="9"/>
    <x v="2"/>
  </r>
  <r>
    <x v="1803"/>
    <x v="9"/>
    <x v="1"/>
    <n v="62.6"/>
    <x v="1415"/>
    <x v="65"/>
    <d v="2025-03-08T00:00:00"/>
    <s v="M"/>
    <x v="2"/>
    <x v="2"/>
    <x v="0"/>
    <x v="9"/>
    <x v="3"/>
    <x v="9"/>
    <x v="1"/>
  </r>
  <r>
    <x v="1804"/>
    <x v="7"/>
    <x v="0"/>
    <n v="81.2"/>
    <x v="1101"/>
    <x v="65"/>
    <d v="2025-03-13T00:00:00"/>
    <s v="M"/>
    <x v="4"/>
    <x v="4"/>
    <x v="0"/>
    <x v="9"/>
    <x v="4"/>
    <x v="9"/>
    <x v="1"/>
  </r>
  <r>
    <x v="1805"/>
    <x v="0"/>
    <x v="7"/>
    <n v="12.7"/>
    <x v="520"/>
    <x v="65"/>
    <d v="2025-03-08T00:00:00"/>
    <s v="F"/>
    <x v="0"/>
    <x v="2"/>
    <x v="0"/>
    <x v="9"/>
    <x v="3"/>
    <x v="9"/>
    <x v="2"/>
  </r>
  <r>
    <x v="1806"/>
    <x v="7"/>
    <x v="12"/>
    <n v="77.7"/>
    <x v="1418"/>
    <x v="66"/>
    <d v="2025-03-12T00:00:00"/>
    <s v="M"/>
    <x v="1"/>
    <x v="0"/>
    <x v="0"/>
    <x v="11"/>
    <x v="5"/>
    <x v="9"/>
    <x v="1"/>
  </r>
  <r>
    <x v="1807"/>
    <x v="5"/>
    <x v="1"/>
    <n v="37.299999999999997"/>
    <x v="110"/>
    <x v="66"/>
    <d v="2025-03-09T00:00:00"/>
    <s v="F"/>
    <x v="0"/>
    <x v="2"/>
    <x v="0"/>
    <x v="18"/>
    <x v="3"/>
    <x v="9"/>
    <x v="2"/>
  </r>
  <r>
    <x v="1808"/>
    <x v="10"/>
    <x v="12"/>
    <n v="35.6"/>
    <x v="1419"/>
    <x v="66"/>
    <d v="2025-03-10T00:00:00"/>
    <s v="F"/>
    <x v="1"/>
    <x v="1"/>
    <x v="0"/>
    <x v="19"/>
    <x v="1"/>
    <x v="9"/>
    <x v="2"/>
  </r>
  <r>
    <x v="1809"/>
    <x v="2"/>
    <x v="2"/>
    <n v="95"/>
    <x v="1420"/>
    <x v="66"/>
    <d v="2025-03-12T00:00:00"/>
    <s v="F"/>
    <x v="2"/>
    <x v="2"/>
    <x v="0"/>
    <x v="56"/>
    <x v="5"/>
    <x v="9"/>
    <x v="2"/>
  </r>
  <r>
    <x v="1810"/>
    <x v="2"/>
    <x v="12"/>
    <n v="172.1"/>
    <x v="1421"/>
    <x v="66"/>
    <d v="2025-03-12T00:00:00"/>
    <s v="O"/>
    <x v="2"/>
    <x v="2"/>
    <x v="0"/>
    <x v="21"/>
    <x v="5"/>
    <x v="9"/>
    <x v="3"/>
  </r>
  <r>
    <x v="1811"/>
    <x v="2"/>
    <x v="1"/>
    <n v="233"/>
    <x v="1147"/>
    <x v="66"/>
    <d v="2025-03-11T00:00:00"/>
    <s v="F"/>
    <x v="1"/>
    <x v="0"/>
    <x v="0"/>
    <x v="21"/>
    <x v="2"/>
    <x v="9"/>
    <x v="2"/>
  </r>
  <r>
    <x v="1812"/>
    <x v="0"/>
    <x v="0"/>
    <n v="43.5"/>
    <x v="1422"/>
    <x v="66"/>
    <d v="2025-03-09T00:00:00"/>
    <s v="F"/>
    <x v="2"/>
    <x v="2"/>
    <x v="0"/>
    <x v="21"/>
    <x v="3"/>
    <x v="9"/>
    <x v="2"/>
  </r>
  <r>
    <x v="1813"/>
    <x v="9"/>
    <x v="1"/>
    <n v="47.8"/>
    <x v="139"/>
    <x v="66"/>
    <d v="2025-03-11T00:00:00"/>
    <s v="M"/>
    <x v="4"/>
    <x v="2"/>
    <x v="0"/>
    <x v="1"/>
    <x v="2"/>
    <x v="9"/>
    <x v="1"/>
  </r>
  <r>
    <x v="1814"/>
    <x v="12"/>
    <x v="1"/>
    <n v="65.8"/>
    <x v="1423"/>
    <x v="66"/>
    <d v="2025-03-10T00:00:00"/>
    <s v="F"/>
    <x v="0"/>
    <x v="3"/>
    <x v="0"/>
    <x v="33"/>
    <x v="1"/>
    <x v="9"/>
    <x v="2"/>
  </r>
  <r>
    <x v="1815"/>
    <x v="15"/>
    <x v="5"/>
    <n v="38.700000000000003"/>
    <x v="1424"/>
    <x v="66"/>
    <d v="2025-03-08T00:00:00"/>
    <s v="M"/>
    <x v="0"/>
    <x v="0"/>
    <x v="0"/>
    <x v="22"/>
    <x v="7"/>
    <x v="9"/>
    <x v="1"/>
  </r>
  <r>
    <x v="1816"/>
    <x v="3"/>
    <x v="12"/>
    <n v="55.7"/>
    <x v="839"/>
    <x v="66"/>
    <d v="2025-03-10T00:00:00"/>
    <s v="O"/>
    <x v="0"/>
    <x v="1"/>
    <x v="0"/>
    <x v="22"/>
    <x v="1"/>
    <x v="9"/>
    <x v="3"/>
  </r>
  <r>
    <x v="1817"/>
    <x v="7"/>
    <x v="1"/>
    <n v="102.4"/>
    <x v="403"/>
    <x v="66"/>
    <d v="2025-03-08T00:00:00"/>
    <s v="F"/>
    <x v="1"/>
    <x v="0"/>
    <x v="0"/>
    <x v="3"/>
    <x v="7"/>
    <x v="9"/>
    <x v="2"/>
  </r>
  <r>
    <x v="1818"/>
    <x v="1"/>
    <x v="0"/>
    <n v="92"/>
    <x v="988"/>
    <x v="66"/>
    <d v="2025-03-12T00:00:00"/>
    <s v=""/>
    <x v="2"/>
    <x v="0"/>
    <x v="0"/>
    <x v="3"/>
    <x v="5"/>
    <x v="9"/>
    <x v="0"/>
  </r>
  <r>
    <x v="1819"/>
    <x v="6"/>
    <x v="12"/>
    <n v="75.900000000000006"/>
    <x v="80"/>
    <x v="66"/>
    <d v="2025-03-10T00:00:00"/>
    <s v="F"/>
    <x v="1"/>
    <x v="0"/>
    <x v="0"/>
    <x v="3"/>
    <x v="1"/>
    <x v="9"/>
    <x v="2"/>
  </r>
  <r>
    <x v="1820"/>
    <x v="1"/>
    <x v="12"/>
    <n v="36.200000000000003"/>
    <x v="353"/>
    <x v="66"/>
    <d v="2025-03-09T00:00:00"/>
    <s v="F"/>
    <x v="1"/>
    <x v="0"/>
    <x v="0"/>
    <x v="3"/>
    <x v="3"/>
    <x v="9"/>
    <x v="2"/>
  </r>
  <r>
    <x v="1821"/>
    <x v="6"/>
    <x v="45"/>
    <n v="83.5"/>
    <x v="1425"/>
    <x v="66"/>
    <d v="2025-03-10T00:00:00"/>
    <s v=""/>
    <x v="3"/>
    <x v="0"/>
    <x v="0"/>
    <x v="3"/>
    <x v="1"/>
    <x v="9"/>
    <x v="0"/>
  </r>
  <r>
    <x v="1822"/>
    <x v="19"/>
    <x v="4"/>
    <n v="52.4"/>
    <x v="1092"/>
    <x v="66"/>
    <d v="2025-03-08T00:00:00"/>
    <s v="M"/>
    <x v="2"/>
    <x v="0"/>
    <x v="0"/>
    <x v="3"/>
    <x v="7"/>
    <x v="9"/>
    <x v="1"/>
  </r>
  <r>
    <x v="1823"/>
    <x v="12"/>
    <x v="2"/>
    <n v="69.5"/>
    <x v="1416"/>
    <x v="66"/>
    <d v="2025-03-09T00:00:00"/>
    <s v="O"/>
    <x v="4"/>
    <x v="0"/>
    <x v="0"/>
    <x v="3"/>
    <x v="3"/>
    <x v="9"/>
    <x v="3"/>
  </r>
  <r>
    <x v="1824"/>
    <x v="0"/>
    <x v="0"/>
    <n v="15.5"/>
    <x v="1426"/>
    <x v="66"/>
    <d v="2025-03-10T00:00:00"/>
    <s v="M"/>
    <x v="0"/>
    <x v="0"/>
    <x v="0"/>
    <x v="3"/>
    <x v="1"/>
    <x v="9"/>
    <x v="1"/>
  </r>
  <r>
    <x v="1825"/>
    <x v="4"/>
    <x v="12"/>
    <n v="35.200000000000003"/>
    <x v="1427"/>
    <x v="66"/>
    <d v="2025-03-09T00:00:00"/>
    <s v="F"/>
    <x v="2"/>
    <x v="2"/>
    <x v="0"/>
    <x v="3"/>
    <x v="3"/>
    <x v="9"/>
    <x v="2"/>
  </r>
  <r>
    <x v="1826"/>
    <x v="8"/>
    <x v="13"/>
    <n v="34.6"/>
    <x v="1428"/>
    <x v="66"/>
    <d v="2025-03-09T00:00:00"/>
    <s v=""/>
    <x v="0"/>
    <x v="1"/>
    <x v="0"/>
    <x v="3"/>
    <x v="3"/>
    <x v="9"/>
    <x v="0"/>
  </r>
  <r>
    <x v="1827"/>
    <x v="4"/>
    <x v="0"/>
    <n v="21.3"/>
    <x v="1429"/>
    <x v="67"/>
    <d v="2025-03-10T00:00:00"/>
    <s v="M"/>
    <x v="2"/>
    <x v="1"/>
    <x v="0"/>
    <x v="3"/>
    <x v="3"/>
    <x v="10"/>
    <x v="1"/>
  </r>
  <r>
    <x v="1828"/>
    <x v="6"/>
    <x v="1"/>
    <n v="136.5"/>
    <x v="1430"/>
    <x v="67"/>
    <d v="2025-03-15T00:00:00"/>
    <s v="F"/>
    <x v="0"/>
    <x v="0"/>
    <x v="0"/>
    <x v="37"/>
    <x v="4"/>
    <x v="10"/>
    <x v="2"/>
  </r>
  <r>
    <x v="1829"/>
    <x v="9"/>
    <x v="3"/>
    <n v="30.7"/>
    <x v="1431"/>
    <x v="67"/>
    <d v="2025-03-10T00:00:00"/>
    <s v="M"/>
    <x v="2"/>
    <x v="2"/>
    <x v="0"/>
    <x v="25"/>
    <x v="3"/>
    <x v="10"/>
    <x v="1"/>
  </r>
  <r>
    <x v="1830"/>
    <x v="1"/>
    <x v="1"/>
    <n v="61.6"/>
    <x v="1432"/>
    <x v="67"/>
    <d v="2025-03-10T00:00:00"/>
    <s v="F"/>
    <x v="2"/>
    <x v="2"/>
    <x v="0"/>
    <x v="23"/>
    <x v="3"/>
    <x v="10"/>
    <x v="2"/>
  </r>
  <r>
    <x v="1831"/>
    <x v="6"/>
    <x v="12"/>
    <n v="54.3"/>
    <x v="1433"/>
    <x v="67"/>
    <d v="2025-03-11T00:00:00"/>
    <s v=""/>
    <x v="4"/>
    <x v="0"/>
    <x v="0"/>
    <x v="7"/>
    <x v="1"/>
    <x v="10"/>
    <x v="0"/>
  </r>
  <r>
    <x v="1832"/>
    <x v="1"/>
    <x v="1"/>
    <n v="44.1"/>
    <x v="1047"/>
    <x v="67"/>
    <d v="2025-03-21T00:00:00"/>
    <s v="F"/>
    <x v="0"/>
    <x v="2"/>
    <x v="0"/>
    <x v="8"/>
    <x v="13"/>
    <x v="10"/>
    <x v="2"/>
  </r>
  <r>
    <x v="1833"/>
    <x v="8"/>
    <x v="12"/>
    <n v="43.5"/>
    <x v="1434"/>
    <x v="67"/>
    <d v="2025-03-15T00:00:00"/>
    <s v="M"/>
    <x v="3"/>
    <x v="0"/>
    <x v="0"/>
    <x v="8"/>
    <x v="4"/>
    <x v="10"/>
    <x v="1"/>
  </r>
  <r>
    <x v="1834"/>
    <x v="8"/>
    <x v="2"/>
    <n v="48.2"/>
    <x v="1435"/>
    <x v="67"/>
    <d v="2025-03-13T00:00:00"/>
    <s v="M"/>
    <x v="3"/>
    <x v="1"/>
    <x v="0"/>
    <x v="8"/>
    <x v="5"/>
    <x v="10"/>
    <x v="1"/>
  </r>
  <r>
    <x v="1835"/>
    <x v="19"/>
    <x v="0"/>
    <n v="13.7"/>
    <x v="1436"/>
    <x v="67"/>
    <d v="2025-03-10T00:00:00"/>
    <s v="F"/>
    <x v="2"/>
    <x v="2"/>
    <x v="0"/>
    <x v="8"/>
    <x v="3"/>
    <x v="10"/>
    <x v="2"/>
  </r>
  <r>
    <x v="1836"/>
    <x v="2"/>
    <x v="1"/>
    <n v="110.5"/>
    <x v="1437"/>
    <x v="67"/>
    <d v="2025-03-10T00:00:00"/>
    <s v="F"/>
    <x v="0"/>
    <x v="1"/>
    <x v="0"/>
    <x v="8"/>
    <x v="3"/>
    <x v="10"/>
    <x v="2"/>
  </r>
  <r>
    <x v="1837"/>
    <x v="8"/>
    <x v="2"/>
    <n v="26"/>
    <x v="292"/>
    <x v="67"/>
    <d v="2025-03-14T00:00:00"/>
    <s v="F"/>
    <x v="1"/>
    <x v="1"/>
    <x v="0"/>
    <x v="8"/>
    <x v="0"/>
    <x v="10"/>
    <x v="2"/>
  </r>
  <r>
    <x v="1838"/>
    <x v="2"/>
    <x v="7"/>
    <n v="140.69999999999999"/>
    <x v="1438"/>
    <x v="67"/>
    <d v="2025-03-15T00:00:00"/>
    <s v="M"/>
    <x v="3"/>
    <x v="1"/>
    <x v="0"/>
    <x v="8"/>
    <x v="4"/>
    <x v="10"/>
    <x v="1"/>
  </r>
  <r>
    <x v="1839"/>
    <x v="17"/>
    <x v="1"/>
    <n v="41.7"/>
    <x v="925"/>
    <x v="67"/>
    <d v="2025-03-17T00:00:00"/>
    <s v="F"/>
    <x v="0"/>
    <x v="4"/>
    <x v="0"/>
    <x v="8"/>
    <x v="9"/>
    <x v="10"/>
    <x v="2"/>
  </r>
  <r>
    <x v="1840"/>
    <x v="2"/>
    <x v="1"/>
    <n v="135.1"/>
    <x v="1439"/>
    <x v="67"/>
    <d v="2025-03-10T00:00:00"/>
    <s v="M"/>
    <x v="0"/>
    <x v="2"/>
    <x v="0"/>
    <x v="17"/>
    <x v="3"/>
    <x v="10"/>
    <x v="1"/>
  </r>
  <r>
    <x v="1841"/>
    <x v="12"/>
    <x v="32"/>
    <n v="95.5"/>
    <x v="1440"/>
    <x v="67"/>
    <d v="2025-03-10T00:00:00"/>
    <s v="F"/>
    <x v="4"/>
    <x v="4"/>
    <x v="0"/>
    <x v="26"/>
    <x v="3"/>
    <x v="10"/>
    <x v="2"/>
  </r>
  <r>
    <x v="1842"/>
    <x v="15"/>
    <x v="0"/>
    <n v="25.5"/>
    <x v="1441"/>
    <x v="67"/>
    <d v="2025-03-12T00:00:00"/>
    <s v=""/>
    <x v="2"/>
    <x v="2"/>
    <x v="0"/>
    <x v="11"/>
    <x v="2"/>
    <x v="10"/>
    <x v="0"/>
  </r>
  <r>
    <x v="1843"/>
    <x v="1"/>
    <x v="0"/>
    <n v="42.6"/>
    <x v="440"/>
    <x v="67"/>
    <d v="2025-03-13T00:00:00"/>
    <s v="F"/>
    <x v="0"/>
    <x v="0"/>
    <x v="0"/>
    <x v="11"/>
    <x v="5"/>
    <x v="10"/>
    <x v="2"/>
  </r>
  <r>
    <x v="1844"/>
    <x v="8"/>
    <x v="20"/>
    <n v="32.4"/>
    <x v="1442"/>
    <x v="67"/>
    <d v="2025-03-10T00:00:00"/>
    <s v="M"/>
    <x v="1"/>
    <x v="1"/>
    <x v="0"/>
    <x v="11"/>
    <x v="3"/>
    <x v="10"/>
    <x v="1"/>
  </r>
  <r>
    <x v="1845"/>
    <x v="4"/>
    <x v="12"/>
    <n v="20.2"/>
    <x v="1443"/>
    <x v="67"/>
    <d v="2025-03-10T00:00:00"/>
    <s v="O"/>
    <x v="2"/>
    <x v="0"/>
    <x v="0"/>
    <x v="11"/>
    <x v="3"/>
    <x v="10"/>
    <x v="3"/>
  </r>
  <r>
    <x v="1846"/>
    <x v="16"/>
    <x v="2"/>
    <n v="52.5"/>
    <x v="905"/>
    <x v="67"/>
    <d v="2025-03-14T00:00:00"/>
    <s v="F"/>
    <x v="4"/>
    <x v="0"/>
    <x v="0"/>
    <x v="18"/>
    <x v="0"/>
    <x v="10"/>
    <x v="2"/>
  </r>
  <r>
    <x v="1847"/>
    <x v="2"/>
    <x v="9"/>
    <n v="59.9"/>
    <x v="1444"/>
    <x v="67"/>
    <d v="2025-03-11T00:00:00"/>
    <s v="F"/>
    <x v="2"/>
    <x v="0"/>
    <x v="0"/>
    <x v="19"/>
    <x v="1"/>
    <x v="10"/>
    <x v="2"/>
  </r>
  <r>
    <x v="1848"/>
    <x v="4"/>
    <x v="1"/>
    <n v="53.2"/>
    <x v="793"/>
    <x v="67"/>
    <d v="2025-03-10T00:00:00"/>
    <s v="F"/>
    <x v="1"/>
    <x v="3"/>
    <x v="0"/>
    <x v="20"/>
    <x v="3"/>
    <x v="10"/>
    <x v="2"/>
  </r>
  <r>
    <x v="1849"/>
    <x v="2"/>
    <x v="1"/>
    <n v="60"/>
    <x v="160"/>
    <x v="67"/>
    <d v="2025-03-15T00:00:00"/>
    <s v="M"/>
    <x v="1"/>
    <x v="2"/>
    <x v="0"/>
    <x v="20"/>
    <x v="4"/>
    <x v="10"/>
    <x v="1"/>
  </r>
  <r>
    <x v="1850"/>
    <x v="8"/>
    <x v="2"/>
    <n v="29.3"/>
    <x v="1205"/>
    <x v="67"/>
    <d v="2025-03-10T00:00:00"/>
    <s v="F"/>
    <x v="4"/>
    <x v="0"/>
    <x v="0"/>
    <x v="13"/>
    <x v="3"/>
    <x v="10"/>
    <x v="2"/>
  </r>
  <r>
    <x v="1851"/>
    <x v="12"/>
    <x v="1"/>
    <n v="55.4"/>
    <x v="806"/>
    <x v="67"/>
    <d v="2025-03-10T00:00:00"/>
    <s v="F"/>
    <x v="0"/>
    <x v="2"/>
    <x v="0"/>
    <x v="21"/>
    <x v="3"/>
    <x v="10"/>
    <x v="2"/>
  </r>
  <r>
    <x v="1852"/>
    <x v="0"/>
    <x v="9"/>
    <n v="20.100000000000001"/>
    <x v="427"/>
    <x v="67"/>
    <d v="2025-03-11T00:00:00"/>
    <s v="F"/>
    <x v="1"/>
    <x v="2"/>
    <x v="0"/>
    <x v="21"/>
    <x v="1"/>
    <x v="10"/>
    <x v="2"/>
  </r>
  <r>
    <x v="1853"/>
    <x v="14"/>
    <x v="9"/>
    <n v="24"/>
    <x v="160"/>
    <x v="67"/>
    <d v="2025-03-12T00:00:00"/>
    <s v="M"/>
    <x v="2"/>
    <x v="0"/>
    <x v="0"/>
    <x v="1"/>
    <x v="2"/>
    <x v="10"/>
    <x v="1"/>
  </r>
  <r>
    <x v="1854"/>
    <x v="8"/>
    <x v="1"/>
    <n v="30.6"/>
    <x v="1"/>
    <x v="68"/>
    <d v="2025-03-12T00:00:00"/>
    <s v="F"/>
    <x v="0"/>
    <x v="0"/>
    <x v="0"/>
    <x v="1"/>
    <x v="1"/>
    <x v="10"/>
    <x v="2"/>
  </r>
  <r>
    <x v="1855"/>
    <x v="10"/>
    <x v="9"/>
    <n v="33"/>
    <x v="1445"/>
    <x v="68"/>
    <d v="2025-03-11T00:00:00"/>
    <s v="M"/>
    <x v="1"/>
    <x v="1"/>
    <x v="0"/>
    <x v="27"/>
    <x v="3"/>
    <x v="10"/>
    <x v="1"/>
  </r>
  <r>
    <x v="1856"/>
    <x v="17"/>
    <x v="11"/>
    <n v="42.1"/>
    <x v="1258"/>
    <x v="68"/>
    <d v="2025-03-16T00:00:00"/>
    <s v="F"/>
    <x v="2"/>
    <x v="0"/>
    <x v="0"/>
    <x v="44"/>
    <x v="4"/>
    <x v="10"/>
    <x v="2"/>
  </r>
  <r>
    <x v="1857"/>
    <x v="6"/>
    <x v="3"/>
    <n v="77.7"/>
    <x v="1446"/>
    <x v="68"/>
    <d v="2025-03-15T00:00:00"/>
    <s v="F"/>
    <x v="1"/>
    <x v="2"/>
    <x v="0"/>
    <x v="50"/>
    <x v="0"/>
    <x v="10"/>
    <x v="2"/>
  </r>
  <r>
    <x v="1858"/>
    <x v="17"/>
    <x v="13"/>
    <n v="22.7"/>
    <x v="1134"/>
    <x v="68"/>
    <d v="2025-03-13T00:00:00"/>
    <s v="F"/>
    <x v="2"/>
    <x v="0"/>
    <x v="0"/>
    <x v="3"/>
    <x v="2"/>
    <x v="10"/>
    <x v="2"/>
  </r>
  <r>
    <x v="1859"/>
    <x v="2"/>
    <x v="1"/>
    <n v="133"/>
    <x v="751"/>
    <x v="68"/>
    <d v="2025-03-10T00:00:00"/>
    <s v="M"/>
    <x v="2"/>
    <x v="2"/>
    <x v="0"/>
    <x v="3"/>
    <x v="7"/>
    <x v="10"/>
    <x v="1"/>
  </r>
  <r>
    <x v="1860"/>
    <x v="0"/>
    <x v="1"/>
    <n v="23.3"/>
    <x v="1447"/>
    <x v="68"/>
    <d v="2025-03-11T00:00:00"/>
    <s v="M"/>
    <x v="1"/>
    <x v="2"/>
    <x v="0"/>
    <x v="3"/>
    <x v="3"/>
    <x v="10"/>
    <x v="1"/>
  </r>
  <r>
    <x v="1861"/>
    <x v="8"/>
    <x v="2"/>
    <n v="20.7"/>
    <x v="1448"/>
    <x v="68"/>
    <d v="2025-03-12T00:00:00"/>
    <s v="O"/>
    <x v="0"/>
    <x v="2"/>
    <x v="0"/>
    <x v="3"/>
    <x v="1"/>
    <x v="10"/>
    <x v="3"/>
  </r>
  <r>
    <x v="1862"/>
    <x v="12"/>
    <x v="1"/>
    <n v="47"/>
    <x v="255"/>
    <x v="68"/>
    <d v="2025-03-11T00:00:00"/>
    <s v="M"/>
    <x v="1"/>
    <x v="2"/>
    <x v="0"/>
    <x v="3"/>
    <x v="3"/>
    <x v="10"/>
    <x v="1"/>
  </r>
  <r>
    <x v="1863"/>
    <x v="12"/>
    <x v="2"/>
    <n v="38.200000000000003"/>
    <x v="1449"/>
    <x v="68"/>
    <d v="2025-03-12T00:00:00"/>
    <s v="F"/>
    <x v="2"/>
    <x v="4"/>
    <x v="0"/>
    <x v="3"/>
    <x v="1"/>
    <x v="10"/>
    <x v="2"/>
  </r>
  <r>
    <x v="1864"/>
    <x v="9"/>
    <x v="0"/>
    <n v="39.1"/>
    <x v="923"/>
    <x v="68"/>
    <d v="2025-03-12T00:00:00"/>
    <s v="F"/>
    <x v="0"/>
    <x v="0"/>
    <x v="0"/>
    <x v="3"/>
    <x v="1"/>
    <x v="10"/>
    <x v="2"/>
  </r>
  <r>
    <x v="1865"/>
    <x v="7"/>
    <x v="30"/>
    <n v="55.6"/>
    <x v="1450"/>
    <x v="68"/>
    <d v="2025-03-12T00:00:00"/>
    <s v="M"/>
    <x v="0"/>
    <x v="2"/>
    <x v="0"/>
    <x v="3"/>
    <x v="1"/>
    <x v="10"/>
    <x v="1"/>
  </r>
  <r>
    <x v="1866"/>
    <x v="15"/>
    <x v="0"/>
    <n v="43.1"/>
    <x v="39"/>
    <x v="68"/>
    <d v="2025-03-10T00:00:00"/>
    <s v="O"/>
    <x v="1"/>
    <x v="2"/>
    <x v="0"/>
    <x v="3"/>
    <x v="7"/>
    <x v="10"/>
    <x v="3"/>
  </r>
  <r>
    <x v="1867"/>
    <x v="6"/>
    <x v="12"/>
    <n v="48.1"/>
    <x v="1451"/>
    <x v="68"/>
    <d v="2025-03-11T00:00:00"/>
    <s v="F"/>
    <x v="4"/>
    <x v="2"/>
    <x v="0"/>
    <x v="3"/>
    <x v="3"/>
    <x v="10"/>
    <x v="2"/>
  </r>
  <r>
    <x v="1868"/>
    <x v="4"/>
    <x v="0"/>
    <n v="42"/>
    <x v="337"/>
    <x v="68"/>
    <d v="2025-03-11T00:00:00"/>
    <s v="O"/>
    <x v="0"/>
    <x v="0"/>
    <x v="0"/>
    <x v="3"/>
    <x v="3"/>
    <x v="10"/>
    <x v="3"/>
  </r>
  <r>
    <x v="1869"/>
    <x v="8"/>
    <x v="9"/>
    <n v="18.3"/>
    <x v="1058"/>
    <x v="68"/>
    <d v="2025-03-10T00:00:00"/>
    <s v="F"/>
    <x v="2"/>
    <x v="0"/>
    <x v="0"/>
    <x v="3"/>
    <x v="7"/>
    <x v="10"/>
    <x v="2"/>
  </r>
  <r>
    <x v="1870"/>
    <x v="10"/>
    <x v="12"/>
    <n v="45.3"/>
    <x v="1452"/>
    <x v="68"/>
    <d v="2025-03-13T00:00:00"/>
    <s v="F"/>
    <x v="0"/>
    <x v="2"/>
    <x v="0"/>
    <x v="3"/>
    <x v="2"/>
    <x v="10"/>
    <x v="2"/>
  </r>
  <r>
    <x v="1871"/>
    <x v="0"/>
    <x v="1"/>
    <n v="27.6"/>
    <x v="291"/>
    <x v="68"/>
    <d v="2025-03-12T00:00:00"/>
    <s v="M"/>
    <x v="0"/>
    <x v="2"/>
    <x v="0"/>
    <x v="37"/>
    <x v="1"/>
    <x v="10"/>
    <x v="1"/>
  </r>
  <r>
    <x v="1872"/>
    <x v="4"/>
    <x v="9"/>
    <n v="26.9"/>
    <x v="531"/>
    <x v="68"/>
    <d v="2025-03-11T00:00:00"/>
    <s v="F"/>
    <x v="2"/>
    <x v="0"/>
    <x v="0"/>
    <x v="25"/>
    <x v="3"/>
    <x v="10"/>
    <x v="2"/>
  </r>
  <r>
    <x v="1873"/>
    <x v="2"/>
    <x v="11"/>
    <n v="82.4"/>
    <x v="1453"/>
    <x v="68"/>
    <d v="2025-03-12T00:00:00"/>
    <s v="O"/>
    <x v="2"/>
    <x v="0"/>
    <x v="0"/>
    <x v="5"/>
    <x v="1"/>
    <x v="10"/>
    <x v="3"/>
  </r>
  <r>
    <x v="1874"/>
    <x v="6"/>
    <x v="0"/>
    <n v="103.7"/>
    <x v="1454"/>
    <x v="68"/>
    <d v="2025-03-12T00:00:00"/>
    <s v="F"/>
    <x v="1"/>
    <x v="0"/>
    <x v="0"/>
    <x v="5"/>
    <x v="1"/>
    <x v="10"/>
    <x v="2"/>
  </r>
  <r>
    <x v="1875"/>
    <x v="2"/>
    <x v="1"/>
    <n v="58.8"/>
    <x v="833"/>
    <x v="68"/>
    <d v="2025-03-15T00:00:00"/>
    <s v="F"/>
    <x v="1"/>
    <x v="2"/>
    <x v="0"/>
    <x v="6"/>
    <x v="0"/>
    <x v="10"/>
    <x v="2"/>
  </r>
  <r>
    <x v="1876"/>
    <x v="13"/>
    <x v="0"/>
    <n v="31.5"/>
    <x v="1455"/>
    <x v="68"/>
    <d v="2025-03-11T00:00:00"/>
    <s v="F"/>
    <x v="1"/>
    <x v="1"/>
    <x v="0"/>
    <x v="6"/>
    <x v="3"/>
    <x v="10"/>
    <x v="2"/>
  </r>
  <r>
    <x v="1877"/>
    <x v="7"/>
    <x v="9"/>
    <n v="36.799999999999997"/>
    <x v="79"/>
    <x v="68"/>
    <d v="2025-03-12T00:00:00"/>
    <s v="F"/>
    <x v="0"/>
    <x v="0"/>
    <x v="0"/>
    <x v="8"/>
    <x v="1"/>
    <x v="10"/>
    <x v="2"/>
  </r>
  <r>
    <x v="1878"/>
    <x v="3"/>
    <x v="0"/>
    <n v="84.4"/>
    <x v="533"/>
    <x v="68"/>
    <d v="2025-03-11T00:00:00"/>
    <s v="F"/>
    <x v="0"/>
    <x v="0"/>
    <x v="0"/>
    <x v="8"/>
    <x v="3"/>
    <x v="10"/>
    <x v="2"/>
  </r>
  <r>
    <x v="1879"/>
    <x v="14"/>
    <x v="0"/>
    <n v="44.7"/>
    <x v="1456"/>
    <x v="68"/>
    <d v="2025-03-11T00:00:00"/>
    <s v="M"/>
    <x v="0"/>
    <x v="1"/>
    <x v="0"/>
    <x v="8"/>
    <x v="3"/>
    <x v="10"/>
    <x v="1"/>
  </r>
  <r>
    <x v="1880"/>
    <x v="9"/>
    <x v="8"/>
    <n v="39.4"/>
    <x v="895"/>
    <x v="68"/>
    <d v="2025-03-11T00:00:00"/>
    <s v="F"/>
    <x v="1"/>
    <x v="2"/>
    <x v="0"/>
    <x v="8"/>
    <x v="3"/>
    <x v="10"/>
    <x v="2"/>
  </r>
  <r>
    <x v="1881"/>
    <x v="11"/>
    <x v="12"/>
    <n v="34.9"/>
    <x v="1457"/>
    <x v="68"/>
    <d v="2025-03-12T00:00:00"/>
    <s v="F"/>
    <x v="0"/>
    <x v="2"/>
    <x v="0"/>
    <x v="8"/>
    <x v="1"/>
    <x v="10"/>
    <x v="2"/>
  </r>
  <r>
    <x v="1882"/>
    <x v="1"/>
    <x v="2"/>
    <n v="62.3"/>
    <x v="1458"/>
    <x v="68"/>
    <d v="2025-03-12T00:00:00"/>
    <s v="M"/>
    <x v="4"/>
    <x v="2"/>
    <x v="0"/>
    <x v="8"/>
    <x v="1"/>
    <x v="10"/>
    <x v="1"/>
  </r>
  <r>
    <x v="1883"/>
    <x v="8"/>
    <x v="12"/>
    <n v="21.1"/>
    <x v="533"/>
    <x v="68"/>
    <d v="2025-03-13T00:00:00"/>
    <s v="M"/>
    <x v="3"/>
    <x v="0"/>
    <x v="0"/>
    <x v="8"/>
    <x v="2"/>
    <x v="10"/>
    <x v="1"/>
  </r>
  <r>
    <x v="1884"/>
    <x v="8"/>
    <x v="2"/>
    <n v="33.200000000000003"/>
    <x v="1459"/>
    <x v="68"/>
    <d v="2025-03-24T00:00:00"/>
    <s v=""/>
    <x v="0"/>
    <x v="4"/>
    <x v="0"/>
    <x v="8"/>
    <x v="12"/>
    <x v="10"/>
    <x v="0"/>
  </r>
  <r>
    <x v="1885"/>
    <x v="1"/>
    <x v="12"/>
    <n v="74.5"/>
    <x v="1460"/>
    <x v="68"/>
    <d v="2025-03-11T00:00:00"/>
    <s v="M"/>
    <x v="4"/>
    <x v="0"/>
    <x v="0"/>
    <x v="8"/>
    <x v="3"/>
    <x v="10"/>
    <x v="1"/>
  </r>
  <r>
    <x v="1886"/>
    <x v="10"/>
    <x v="4"/>
    <n v="68.599999999999994"/>
    <x v="1461"/>
    <x v="68"/>
    <d v="2025-03-13T00:00:00"/>
    <s v="F"/>
    <x v="0"/>
    <x v="2"/>
    <x v="0"/>
    <x v="8"/>
    <x v="2"/>
    <x v="10"/>
    <x v="2"/>
  </r>
  <r>
    <x v="1887"/>
    <x v="5"/>
    <x v="21"/>
    <n v="36.4"/>
    <x v="1462"/>
    <x v="68"/>
    <d v="2025-03-12T00:00:00"/>
    <s v="F"/>
    <x v="0"/>
    <x v="1"/>
    <x v="0"/>
    <x v="9"/>
    <x v="1"/>
    <x v="10"/>
    <x v="2"/>
  </r>
  <r>
    <x v="1888"/>
    <x v="16"/>
    <x v="9"/>
    <n v="67.599999999999994"/>
    <x v="1463"/>
    <x v="69"/>
    <d v="2025-03-14T00:00:00"/>
    <s v="F"/>
    <x v="4"/>
    <x v="1"/>
    <x v="0"/>
    <x v="9"/>
    <x v="2"/>
    <x v="10"/>
    <x v="2"/>
  </r>
  <r>
    <x v="1889"/>
    <x v="15"/>
    <x v="0"/>
    <n v="46.3"/>
    <x v="516"/>
    <x v="69"/>
    <d v="2025-03-12T00:00:00"/>
    <s v="M"/>
    <x v="2"/>
    <x v="0"/>
    <x v="0"/>
    <x v="9"/>
    <x v="3"/>
    <x v="10"/>
    <x v="1"/>
  </r>
  <r>
    <x v="1890"/>
    <x v="1"/>
    <x v="2"/>
    <n v="124.2"/>
    <x v="1464"/>
    <x v="69"/>
    <d v="2025-03-13T00:00:00"/>
    <s v="F"/>
    <x v="1"/>
    <x v="2"/>
    <x v="0"/>
    <x v="11"/>
    <x v="1"/>
    <x v="10"/>
    <x v="2"/>
  </r>
  <r>
    <x v="1891"/>
    <x v="10"/>
    <x v="1"/>
    <n v="37"/>
    <x v="372"/>
    <x v="69"/>
    <d v="2025-03-17T00:00:00"/>
    <s v="M"/>
    <x v="0"/>
    <x v="0"/>
    <x v="0"/>
    <x v="11"/>
    <x v="4"/>
    <x v="10"/>
    <x v="1"/>
  </r>
  <r>
    <x v="1892"/>
    <x v="5"/>
    <x v="0"/>
    <n v="41.8"/>
    <x v="1465"/>
    <x v="69"/>
    <d v="2025-03-12T00:00:00"/>
    <s v="M"/>
    <x v="2"/>
    <x v="0"/>
    <x v="0"/>
    <x v="31"/>
    <x v="3"/>
    <x v="10"/>
    <x v="1"/>
  </r>
  <r>
    <x v="1893"/>
    <x v="9"/>
    <x v="1"/>
    <n v="57.2"/>
    <x v="1466"/>
    <x v="69"/>
    <d v="2025-03-13T00:00:00"/>
    <s v="M"/>
    <x v="2"/>
    <x v="1"/>
    <x v="0"/>
    <x v="20"/>
    <x v="1"/>
    <x v="10"/>
    <x v="1"/>
  </r>
  <r>
    <x v="1894"/>
    <x v="6"/>
    <x v="1"/>
    <n v="47.1"/>
    <x v="1467"/>
    <x v="69"/>
    <d v="2025-03-13T00:00:00"/>
    <s v="F"/>
    <x v="0"/>
    <x v="4"/>
    <x v="0"/>
    <x v="20"/>
    <x v="1"/>
    <x v="10"/>
    <x v="2"/>
  </r>
  <r>
    <x v="1895"/>
    <x v="5"/>
    <x v="2"/>
    <n v="86.4"/>
    <x v="1468"/>
    <x v="69"/>
    <d v="2025-03-12T00:00:00"/>
    <s v="M"/>
    <x v="2"/>
    <x v="1"/>
    <x v="0"/>
    <x v="52"/>
    <x v="3"/>
    <x v="10"/>
    <x v="1"/>
  </r>
  <r>
    <x v="1896"/>
    <x v="6"/>
    <x v="9"/>
    <n v="105"/>
    <x v="1469"/>
    <x v="69"/>
    <d v="2025-03-14T00:00:00"/>
    <s v="M"/>
    <x v="0"/>
    <x v="0"/>
    <x v="0"/>
    <x v="13"/>
    <x v="2"/>
    <x v="10"/>
    <x v="1"/>
  </r>
  <r>
    <x v="1897"/>
    <x v="18"/>
    <x v="0"/>
    <n v="33"/>
    <x v="940"/>
    <x v="69"/>
    <d v="2025-03-14T00:00:00"/>
    <s v="M"/>
    <x v="4"/>
    <x v="0"/>
    <x v="0"/>
    <x v="21"/>
    <x v="2"/>
    <x v="10"/>
    <x v="1"/>
  </r>
  <r>
    <x v="1898"/>
    <x v="6"/>
    <x v="9"/>
    <n v="106.6"/>
    <x v="1470"/>
    <x v="69"/>
    <d v="2025-03-24T00:00:00"/>
    <s v="F"/>
    <x v="2"/>
    <x v="0"/>
    <x v="0"/>
    <x v="1"/>
    <x v="10"/>
    <x v="10"/>
    <x v="2"/>
  </r>
  <r>
    <x v="1899"/>
    <x v="10"/>
    <x v="46"/>
    <n v="26.8"/>
    <x v="1471"/>
    <x v="69"/>
    <d v="2025-03-12T00:00:00"/>
    <s v="F"/>
    <x v="2"/>
    <x v="0"/>
    <x v="0"/>
    <x v="1"/>
    <x v="3"/>
    <x v="10"/>
    <x v="2"/>
  </r>
  <r>
    <x v="1900"/>
    <x v="17"/>
    <x v="9"/>
    <n v="25.8"/>
    <x v="309"/>
    <x v="69"/>
    <d v="2025-03-11T00:00:00"/>
    <s v="F"/>
    <x v="1"/>
    <x v="2"/>
    <x v="0"/>
    <x v="3"/>
    <x v="7"/>
    <x v="10"/>
    <x v="2"/>
  </r>
  <r>
    <x v="1901"/>
    <x v="2"/>
    <x v="2"/>
    <n v="217"/>
    <x v="1472"/>
    <x v="69"/>
    <d v="2025-03-12T00:00:00"/>
    <s v="F"/>
    <x v="1"/>
    <x v="1"/>
    <x v="0"/>
    <x v="3"/>
    <x v="3"/>
    <x v="10"/>
    <x v="2"/>
  </r>
  <r>
    <x v="1902"/>
    <x v="2"/>
    <x v="1"/>
    <n v="97.3"/>
    <x v="1473"/>
    <x v="69"/>
    <d v="2025-03-12T00:00:00"/>
    <s v="M"/>
    <x v="2"/>
    <x v="4"/>
    <x v="0"/>
    <x v="3"/>
    <x v="3"/>
    <x v="10"/>
    <x v="1"/>
  </r>
  <r>
    <x v="1903"/>
    <x v="1"/>
    <x v="0"/>
    <n v="49.8"/>
    <x v="1474"/>
    <x v="69"/>
    <d v="2025-03-12T00:00:00"/>
    <s v="F"/>
    <x v="0"/>
    <x v="0"/>
    <x v="0"/>
    <x v="3"/>
    <x v="3"/>
    <x v="10"/>
    <x v="2"/>
  </r>
  <r>
    <x v="1904"/>
    <x v="12"/>
    <x v="9"/>
    <n v="32.6"/>
    <x v="1475"/>
    <x v="69"/>
    <d v="2025-03-12T00:00:00"/>
    <s v="F"/>
    <x v="0"/>
    <x v="0"/>
    <x v="0"/>
    <x v="3"/>
    <x v="3"/>
    <x v="10"/>
    <x v="2"/>
  </r>
  <r>
    <x v="1905"/>
    <x v="9"/>
    <x v="1"/>
    <n v="40.1"/>
    <x v="556"/>
    <x v="69"/>
    <d v="2025-03-14T00:00:00"/>
    <s v="M"/>
    <x v="1"/>
    <x v="2"/>
    <x v="0"/>
    <x v="3"/>
    <x v="2"/>
    <x v="10"/>
    <x v="1"/>
  </r>
  <r>
    <x v="1906"/>
    <x v="10"/>
    <x v="1"/>
    <n v="49.4"/>
    <x v="197"/>
    <x v="69"/>
    <d v="2025-03-13T00:00:00"/>
    <s v="M"/>
    <x v="1"/>
    <x v="0"/>
    <x v="0"/>
    <x v="3"/>
    <x v="1"/>
    <x v="10"/>
    <x v="1"/>
  </r>
  <r>
    <x v="1907"/>
    <x v="2"/>
    <x v="0"/>
    <n v="67.3"/>
    <x v="1476"/>
    <x v="69"/>
    <d v="2025-03-12T00:00:00"/>
    <s v="F"/>
    <x v="0"/>
    <x v="2"/>
    <x v="0"/>
    <x v="3"/>
    <x v="3"/>
    <x v="10"/>
    <x v="2"/>
  </r>
  <r>
    <x v="1908"/>
    <x v="18"/>
    <x v="12"/>
    <n v="44.5"/>
    <x v="394"/>
    <x v="69"/>
    <d v="2025-03-14T00:00:00"/>
    <s v=""/>
    <x v="1"/>
    <x v="0"/>
    <x v="0"/>
    <x v="3"/>
    <x v="2"/>
    <x v="10"/>
    <x v="0"/>
  </r>
  <r>
    <x v="1909"/>
    <x v="6"/>
    <x v="5"/>
    <n v="111.1"/>
    <x v="1477"/>
    <x v="69"/>
    <d v="2025-03-12T00:00:00"/>
    <s v="F"/>
    <x v="4"/>
    <x v="0"/>
    <x v="0"/>
    <x v="3"/>
    <x v="3"/>
    <x v="10"/>
    <x v="2"/>
  </r>
  <r>
    <x v="1910"/>
    <x v="8"/>
    <x v="2"/>
    <n v="19.7"/>
    <x v="1478"/>
    <x v="69"/>
    <d v="2025-03-12T00:00:00"/>
    <s v="F"/>
    <x v="4"/>
    <x v="4"/>
    <x v="0"/>
    <x v="3"/>
    <x v="3"/>
    <x v="10"/>
    <x v="2"/>
  </r>
  <r>
    <x v="1911"/>
    <x v="1"/>
    <x v="0"/>
    <n v="40.299999999999997"/>
    <x v="518"/>
    <x v="69"/>
    <d v="2025-03-12T00:00:00"/>
    <s v="O"/>
    <x v="1"/>
    <x v="0"/>
    <x v="0"/>
    <x v="3"/>
    <x v="3"/>
    <x v="10"/>
    <x v="3"/>
  </r>
  <r>
    <x v="1912"/>
    <x v="6"/>
    <x v="1"/>
    <n v="108.8"/>
    <x v="1479"/>
    <x v="69"/>
    <d v="2025-03-16T00:00:00"/>
    <s v="M"/>
    <x v="0"/>
    <x v="2"/>
    <x v="0"/>
    <x v="6"/>
    <x v="0"/>
    <x v="10"/>
    <x v="1"/>
  </r>
  <r>
    <x v="1913"/>
    <x v="8"/>
    <x v="2"/>
    <n v="48.2"/>
    <x v="1435"/>
    <x v="69"/>
    <d v="2025-03-16T00:00:00"/>
    <s v="F"/>
    <x v="4"/>
    <x v="0"/>
    <x v="0"/>
    <x v="7"/>
    <x v="0"/>
    <x v="10"/>
    <x v="2"/>
  </r>
  <r>
    <x v="1914"/>
    <x v="2"/>
    <x v="2"/>
    <n v="104.7"/>
    <x v="1480"/>
    <x v="69"/>
    <d v="2025-03-13T00:00:00"/>
    <s v="F"/>
    <x v="0"/>
    <x v="1"/>
    <x v="0"/>
    <x v="7"/>
    <x v="1"/>
    <x v="10"/>
    <x v="2"/>
  </r>
  <r>
    <x v="1915"/>
    <x v="1"/>
    <x v="1"/>
    <n v="80.599999999999994"/>
    <x v="154"/>
    <x v="69"/>
    <d v="2025-03-11T00:00:00"/>
    <s v="F"/>
    <x v="1"/>
    <x v="0"/>
    <x v="0"/>
    <x v="8"/>
    <x v="7"/>
    <x v="10"/>
    <x v="2"/>
  </r>
  <r>
    <x v="1916"/>
    <x v="6"/>
    <x v="0"/>
    <n v="65.5"/>
    <x v="1481"/>
    <x v="69"/>
    <d v="2025-03-13T00:00:00"/>
    <s v="O"/>
    <x v="1"/>
    <x v="0"/>
    <x v="0"/>
    <x v="8"/>
    <x v="1"/>
    <x v="10"/>
    <x v="3"/>
  </r>
  <r>
    <x v="1917"/>
    <x v="9"/>
    <x v="2"/>
    <n v="61.4"/>
    <x v="1173"/>
    <x v="69"/>
    <d v="2025-03-13T00:00:00"/>
    <s v="F"/>
    <x v="4"/>
    <x v="2"/>
    <x v="0"/>
    <x v="8"/>
    <x v="1"/>
    <x v="10"/>
    <x v="2"/>
  </r>
  <r>
    <x v="1918"/>
    <x v="0"/>
    <x v="0"/>
    <n v="12.5"/>
    <x v="1482"/>
    <x v="70"/>
    <d v="2025-03-15T00:00:00"/>
    <s v="F"/>
    <x v="0"/>
    <x v="1"/>
    <x v="0"/>
    <x v="8"/>
    <x v="2"/>
    <x v="10"/>
    <x v="2"/>
  </r>
  <r>
    <x v="1919"/>
    <x v="4"/>
    <x v="12"/>
    <n v="35.1"/>
    <x v="381"/>
    <x v="70"/>
    <d v="2025-03-13T00:00:00"/>
    <s v="M"/>
    <x v="2"/>
    <x v="1"/>
    <x v="0"/>
    <x v="17"/>
    <x v="3"/>
    <x v="10"/>
    <x v="1"/>
  </r>
  <r>
    <x v="1920"/>
    <x v="5"/>
    <x v="1"/>
    <n v="55.7"/>
    <x v="1483"/>
    <x v="70"/>
    <d v="2025-03-13T00:00:00"/>
    <s v="M"/>
    <x v="0"/>
    <x v="1"/>
    <x v="0"/>
    <x v="26"/>
    <x v="3"/>
    <x v="10"/>
    <x v="1"/>
  </r>
  <r>
    <x v="1921"/>
    <x v="7"/>
    <x v="1"/>
    <n v="57.7"/>
    <x v="1484"/>
    <x v="70"/>
    <d v="2025-03-14T00:00:00"/>
    <s v="M"/>
    <x v="4"/>
    <x v="1"/>
    <x v="0"/>
    <x v="9"/>
    <x v="1"/>
    <x v="10"/>
    <x v="1"/>
  </r>
  <r>
    <x v="1922"/>
    <x v="2"/>
    <x v="13"/>
    <n v="85.7"/>
    <x v="1485"/>
    <x v="70"/>
    <d v="2025-03-13T00:00:00"/>
    <s v="M"/>
    <x v="3"/>
    <x v="2"/>
    <x v="0"/>
    <x v="9"/>
    <x v="3"/>
    <x v="10"/>
    <x v="1"/>
  </r>
  <r>
    <x v="1923"/>
    <x v="2"/>
    <x v="2"/>
    <n v="86.9"/>
    <x v="1486"/>
    <x v="70"/>
    <d v="2025-03-14T00:00:00"/>
    <s v="F"/>
    <x v="1"/>
    <x v="0"/>
    <x v="0"/>
    <x v="11"/>
    <x v="1"/>
    <x v="10"/>
    <x v="2"/>
  </r>
  <r>
    <x v="1924"/>
    <x v="18"/>
    <x v="1"/>
    <n v="46.4"/>
    <x v="1487"/>
    <x v="70"/>
    <d v="2025-03-15T00:00:00"/>
    <s v="F"/>
    <x v="4"/>
    <x v="0"/>
    <x v="0"/>
    <x v="11"/>
    <x v="2"/>
    <x v="10"/>
    <x v="2"/>
  </r>
  <r>
    <x v="1925"/>
    <x v="5"/>
    <x v="2"/>
    <n v="25.4"/>
    <x v="1488"/>
    <x v="70"/>
    <d v="2025-03-12T00:00:00"/>
    <s v="F"/>
    <x v="2"/>
    <x v="2"/>
    <x v="0"/>
    <x v="18"/>
    <x v="7"/>
    <x v="10"/>
    <x v="2"/>
  </r>
  <r>
    <x v="1926"/>
    <x v="10"/>
    <x v="2"/>
    <n v="47.8"/>
    <x v="1489"/>
    <x v="70"/>
    <d v="2025-03-12T00:00:00"/>
    <s v=""/>
    <x v="2"/>
    <x v="2"/>
    <x v="0"/>
    <x v="19"/>
    <x v="7"/>
    <x v="10"/>
    <x v="0"/>
  </r>
  <r>
    <x v="1927"/>
    <x v="8"/>
    <x v="10"/>
    <n v="18.399999999999999"/>
    <x v="1490"/>
    <x v="70"/>
    <d v="2025-03-14T00:00:00"/>
    <s v="O"/>
    <x v="2"/>
    <x v="0"/>
    <x v="0"/>
    <x v="20"/>
    <x v="1"/>
    <x v="10"/>
    <x v="3"/>
  </r>
  <r>
    <x v="1928"/>
    <x v="12"/>
    <x v="2"/>
    <n v="65.5"/>
    <x v="756"/>
    <x v="70"/>
    <d v="2025-03-20T00:00:00"/>
    <s v="F"/>
    <x v="0"/>
    <x v="0"/>
    <x v="0"/>
    <x v="21"/>
    <x v="9"/>
    <x v="10"/>
    <x v="2"/>
  </r>
  <r>
    <x v="1929"/>
    <x v="10"/>
    <x v="1"/>
    <n v="50.6"/>
    <x v="855"/>
    <x v="70"/>
    <d v="2025-03-15T00:00:00"/>
    <s v="M"/>
    <x v="2"/>
    <x v="4"/>
    <x v="0"/>
    <x v="21"/>
    <x v="2"/>
    <x v="10"/>
    <x v="1"/>
  </r>
  <r>
    <x v="1930"/>
    <x v="3"/>
    <x v="9"/>
    <n v="69"/>
    <x v="1491"/>
    <x v="70"/>
    <d v="2025-03-16T00:00:00"/>
    <s v="M"/>
    <x v="3"/>
    <x v="0"/>
    <x v="0"/>
    <x v="21"/>
    <x v="5"/>
    <x v="10"/>
    <x v="1"/>
  </r>
  <r>
    <x v="1931"/>
    <x v="9"/>
    <x v="8"/>
    <n v="51.1"/>
    <x v="18"/>
    <x v="70"/>
    <d v="2025-03-14T00:00:00"/>
    <s v="F"/>
    <x v="0"/>
    <x v="0"/>
    <x v="0"/>
    <x v="1"/>
    <x v="1"/>
    <x v="10"/>
    <x v="2"/>
  </r>
  <r>
    <x v="1932"/>
    <x v="9"/>
    <x v="0"/>
    <n v="36.1"/>
    <x v="168"/>
    <x v="70"/>
    <d v="2025-03-13T00:00:00"/>
    <s v="F"/>
    <x v="0"/>
    <x v="2"/>
    <x v="0"/>
    <x v="34"/>
    <x v="3"/>
    <x v="10"/>
    <x v="2"/>
  </r>
  <r>
    <x v="1933"/>
    <x v="14"/>
    <x v="0"/>
    <n v="18.7"/>
    <x v="1492"/>
    <x v="70"/>
    <d v="2025-03-13T00:00:00"/>
    <s v="M"/>
    <x v="0"/>
    <x v="0"/>
    <x v="0"/>
    <x v="3"/>
    <x v="3"/>
    <x v="10"/>
    <x v="1"/>
  </r>
  <r>
    <x v="1934"/>
    <x v="17"/>
    <x v="0"/>
    <n v="30.1"/>
    <x v="1493"/>
    <x v="70"/>
    <d v="2025-03-15T00:00:00"/>
    <s v="F"/>
    <x v="3"/>
    <x v="1"/>
    <x v="0"/>
    <x v="3"/>
    <x v="2"/>
    <x v="10"/>
    <x v="2"/>
  </r>
  <r>
    <x v="1935"/>
    <x v="8"/>
    <x v="0"/>
    <n v="16.3"/>
    <x v="1494"/>
    <x v="70"/>
    <d v="2025-03-13T00:00:00"/>
    <s v="M"/>
    <x v="3"/>
    <x v="0"/>
    <x v="0"/>
    <x v="3"/>
    <x v="3"/>
    <x v="10"/>
    <x v="1"/>
  </r>
  <r>
    <x v="1936"/>
    <x v="1"/>
    <x v="2"/>
    <n v="63.8"/>
    <x v="1348"/>
    <x v="70"/>
    <d v="2025-03-17T00:00:00"/>
    <s v="F"/>
    <x v="2"/>
    <x v="1"/>
    <x v="0"/>
    <x v="3"/>
    <x v="0"/>
    <x v="10"/>
    <x v="2"/>
  </r>
  <r>
    <x v="1937"/>
    <x v="1"/>
    <x v="3"/>
    <n v="73.900000000000006"/>
    <x v="1495"/>
    <x v="70"/>
    <d v="2025-03-12T00:00:00"/>
    <s v="F"/>
    <x v="0"/>
    <x v="1"/>
    <x v="0"/>
    <x v="3"/>
    <x v="7"/>
    <x v="10"/>
    <x v="2"/>
  </r>
  <r>
    <x v="1938"/>
    <x v="0"/>
    <x v="1"/>
    <n v="20.2"/>
    <x v="1400"/>
    <x v="70"/>
    <d v="2025-03-13T00:00:00"/>
    <s v="M"/>
    <x v="0"/>
    <x v="1"/>
    <x v="0"/>
    <x v="3"/>
    <x v="3"/>
    <x v="10"/>
    <x v="1"/>
  </r>
  <r>
    <x v="1939"/>
    <x v="11"/>
    <x v="5"/>
    <n v="29.5"/>
    <x v="1496"/>
    <x v="70"/>
    <d v="2025-03-13T00:00:00"/>
    <s v="M"/>
    <x v="0"/>
    <x v="0"/>
    <x v="0"/>
    <x v="3"/>
    <x v="3"/>
    <x v="10"/>
    <x v="1"/>
  </r>
  <r>
    <x v="1940"/>
    <x v="15"/>
    <x v="3"/>
    <n v="37.9"/>
    <x v="1497"/>
    <x v="70"/>
    <d v="2025-03-13T00:00:00"/>
    <s v="M"/>
    <x v="1"/>
    <x v="0"/>
    <x v="0"/>
    <x v="3"/>
    <x v="3"/>
    <x v="10"/>
    <x v="1"/>
  </r>
  <r>
    <x v="1941"/>
    <x v="2"/>
    <x v="0"/>
    <n v="56.5"/>
    <x v="1498"/>
    <x v="70"/>
    <d v="2025-03-13T00:00:00"/>
    <s v="F"/>
    <x v="2"/>
    <x v="1"/>
    <x v="0"/>
    <x v="3"/>
    <x v="3"/>
    <x v="10"/>
    <x v="2"/>
  </r>
  <r>
    <x v="1942"/>
    <x v="2"/>
    <x v="1"/>
    <n v="66.900000000000006"/>
    <x v="981"/>
    <x v="70"/>
    <d v="2025-03-18T00:00:00"/>
    <s v="M"/>
    <x v="1"/>
    <x v="4"/>
    <x v="0"/>
    <x v="25"/>
    <x v="4"/>
    <x v="10"/>
    <x v="1"/>
  </r>
  <r>
    <x v="1943"/>
    <x v="2"/>
    <x v="9"/>
    <n v="51.9"/>
    <x v="1499"/>
    <x v="70"/>
    <d v="2025-03-15T00:00:00"/>
    <s v="M"/>
    <x v="1"/>
    <x v="0"/>
    <x v="0"/>
    <x v="7"/>
    <x v="2"/>
    <x v="10"/>
    <x v="1"/>
  </r>
  <r>
    <x v="1944"/>
    <x v="2"/>
    <x v="1"/>
    <n v="75.599999999999994"/>
    <x v="277"/>
    <x v="70"/>
    <d v="2025-03-15T00:00:00"/>
    <s v="M"/>
    <x v="1"/>
    <x v="0"/>
    <x v="0"/>
    <x v="8"/>
    <x v="2"/>
    <x v="10"/>
    <x v="1"/>
  </r>
  <r>
    <x v="1945"/>
    <x v="12"/>
    <x v="13"/>
    <n v="47.3"/>
    <x v="592"/>
    <x v="70"/>
    <d v="2025-03-23T00:00:00"/>
    <s v="M"/>
    <x v="0"/>
    <x v="0"/>
    <x v="0"/>
    <x v="8"/>
    <x v="11"/>
    <x v="10"/>
    <x v="1"/>
  </r>
  <r>
    <x v="1946"/>
    <x v="4"/>
    <x v="0"/>
    <n v="20.6"/>
    <x v="1500"/>
    <x v="70"/>
    <d v="2025-03-13T00:00:00"/>
    <s v=""/>
    <x v="0"/>
    <x v="1"/>
    <x v="0"/>
    <x v="8"/>
    <x v="3"/>
    <x v="10"/>
    <x v="0"/>
  </r>
  <r>
    <x v="1947"/>
    <x v="6"/>
    <x v="2"/>
    <n v="49.7"/>
    <x v="1501"/>
    <x v="70"/>
    <d v="2025-03-14T00:00:00"/>
    <s v="M"/>
    <x v="0"/>
    <x v="1"/>
    <x v="0"/>
    <x v="8"/>
    <x v="1"/>
    <x v="10"/>
    <x v="1"/>
  </r>
  <r>
    <x v="1948"/>
    <x v="3"/>
    <x v="0"/>
    <n v="37.9"/>
    <x v="853"/>
    <x v="70"/>
    <d v="2025-03-14T00:00:00"/>
    <s v="F"/>
    <x v="0"/>
    <x v="0"/>
    <x v="0"/>
    <x v="8"/>
    <x v="1"/>
    <x v="10"/>
    <x v="2"/>
  </r>
  <r>
    <x v="1949"/>
    <x v="13"/>
    <x v="20"/>
    <n v="32"/>
    <x v="1502"/>
    <x v="70"/>
    <d v="2025-03-14T00:00:00"/>
    <s v="F"/>
    <x v="4"/>
    <x v="0"/>
    <x v="0"/>
    <x v="11"/>
    <x v="1"/>
    <x v="10"/>
    <x v="2"/>
  </r>
  <r>
    <x v="1950"/>
    <x v="10"/>
    <x v="16"/>
    <n v="38.5"/>
    <x v="1503"/>
    <x v="71"/>
    <d v="2025-03-14T00:00:00"/>
    <s v="M"/>
    <x v="0"/>
    <x v="2"/>
    <x v="0"/>
    <x v="11"/>
    <x v="3"/>
    <x v="10"/>
    <x v="1"/>
  </r>
  <r>
    <x v="1951"/>
    <x v="0"/>
    <x v="12"/>
    <n v="11.7"/>
    <x v="86"/>
    <x v="71"/>
    <d v="2025-03-15T00:00:00"/>
    <s v="F"/>
    <x v="1"/>
    <x v="0"/>
    <x v="0"/>
    <x v="20"/>
    <x v="1"/>
    <x v="10"/>
    <x v="2"/>
  </r>
  <r>
    <x v="1952"/>
    <x v="3"/>
    <x v="13"/>
    <n v="83.8"/>
    <x v="1504"/>
    <x v="71"/>
    <d v="2025-03-14T00:00:00"/>
    <s v="M"/>
    <x v="0"/>
    <x v="0"/>
    <x v="0"/>
    <x v="21"/>
    <x v="3"/>
    <x v="10"/>
    <x v="1"/>
  </r>
  <r>
    <x v="1953"/>
    <x v="0"/>
    <x v="3"/>
    <n v="14"/>
    <x v="11"/>
    <x v="71"/>
    <d v="2025-03-16T00:00:00"/>
    <s v="M"/>
    <x v="0"/>
    <x v="1"/>
    <x v="0"/>
    <x v="22"/>
    <x v="2"/>
    <x v="10"/>
    <x v="1"/>
  </r>
  <r>
    <x v="1954"/>
    <x v="16"/>
    <x v="12"/>
    <n v="77.3"/>
    <x v="1505"/>
    <x v="71"/>
    <d v="2025-03-15T00:00:00"/>
    <s v="F"/>
    <x v="4"/>
    <x v="2"/>
    <x v="0"/>
    <x v="3"/>
    <x v="1"/>
    <x v="10"/>
    <x v="2"/>
  </r>
  <r>
    <x v="1955"/>
    <x v="2"/>
    <x v="1"/>
    <n v="76.900000000000006"/>
    <x v="1506"/>
    <x v="71"/>
    <d v="2025-03-17T00:00:00"/>
    <s v="F"/>
    <x v="0"/>
    <x v="1"/>
    <x v="0"/>
    <x v="3"/>
    <x v="5"/>
    <x v="10"/>
    <x v="2"/>
  </r>
  <r>
    <x v="1956"/>
    <x v="1"/>
    <x v="0"/>
    <n v="48"/>
    <x v="510"/>
    <x v="71"/>
    <d v="2025-03-15T00:00:00"/>
    <s v="F"/>
    <x v="1"/>
    <x v="2"/>
    <x v="0"/>
    <x v="3"/>
    <x v="1"/>
    <x v="10"/>
    <x v="2"/>
  </r>
  <r>
    <x v="1957"/>
    <x v="2"/>
    <x v="0"/>
    <n v="94.5"/>
    <x v="234"/>
    <x v="71"/>
    <d v="2025-03-16T00:00:00"/>
    <s v="M"/>
    <x v="1"/>
    <x v="1"/>
    <x v="0"/>
    <x v="3"/>
    <x v="2"/>
    <x v="10"/>
    <x v="1"/>
  </r>
  <r>
    <x v="1958"/>
    <x v="10"/>
    <x v="2"/>
    <n v="58.4"/>
    <x v="122"/>
    <x v="71"/>
    <d v="2025-03-15T00:00:00"/>
    <s v="F"/>
    <x v="1"/>
    <x v="2"/>
    <x v="0"/>
    <x v="3"/>
    <x v="1"/>
    <x v="10"/>
    <x v="2"/>
  </r>
  <r>
    <x v="1959"/>
    <x v="7"/>
    <x v="15"/>
    <n v="42.2"/>
    <x v="1507"/>
    <x v="71"/>
    <d v="2025-03-13T00:00:00"/>
    <s v="M"/>
    <x v="0"/>
    <x v="0"/>
    <x v="0"/>
    <x v="25"/>
    <x v="7"/>
    <x v="10"/>
    <x v="1"/>
  </r>
  <r>
    <x v="1960"/>
    <x v="6"/>
    <x v="1"/>
    <n v="152.19999999999999"/>
    <x v="1508"/>
    <x v="71"/>
    <d v="2025-03-14T00:00:00"/>
    <s v="M"/>
    <x v="4"/>
    <x v="1"/>
    <x v="0"/>
    <x v="25"/>
    <x v="3"/>
    <x v="10"/>
    <x v="1"/>
  </r>
  <r>
    <x v="1961"/>
    <x v="6"/>
    <x v="25"/>
    <n v="72"/>
    <x v="1509"/>
    <x v="71"/>
    <d v="2025-03-14T00:00:00"/>
    <s v="M"/>
    <x v="0"/>
    <x v="1"/>
    <x v="0"/>
    <x v="6"/>
    <x v="3"/>
    <x v="10"/>
    <x v="1"/>
  </r>
  <r>
    <x v="1962"/>
    <x v="1"/>
    <x v="44"/>
    <n v="70.900000000000006"/>
    <x v="1510"/>
    <x v="71"/>
    <d v="2025-03-14T00:00:00"/>
    <s v="F"/>
    <x v="2"/>
    <x v="0"/>
    <x v="0"/>
    <x v="8"/>
    <x v="3"/>
    <x v="10"/>
    <x v="2"/>
  </r>
  <r>
    <x v="1963"/>
    <x v="2"/>
    <x v="1"/>
    <n v="53.7"/>
    <x v="1511"/>
    <x v="71"/>
    <d v="2025-03-14T00:00:00"/>
    <s v="M"/>
    <x v="2"/>
    <x v="2"/>
    <x v="0"/>
    <x v="8"/>
    <x v="3"/>
    <x v="10"/>
    <x v="1"/>
  </r>
  <r>
    <x v="1964"/>
    <x v="9"/>
    <x v="12"/>
    <n v="42.9"/>
    <x v="1512"/>
    <x v="71"/>
    <d v="2025-03-14T00:00:00"/>
    <s v="F"/>
    <x v="2"/>
    <x v="4"/>
    <x v="0"/>
    <x v="9"/>
    <x v="3"/>
    <x v="10"/>
    <x v="2"/>
  </r>
  <r>
    <x v="1965"/>
    <x v="2"/>
    <x v="3"/>
    <n v="107.5"/>
    <x v="1513"/>
    <x v="71"/>
    <d v="2025-03-14T00:00:00"/>
    <s v="M"/>
    <x v="1"/>
    <x v="0"/>
    <x v="0"/>
    <x v="11"/>
    <x v="3"/>
    <x v="10"/>
    <x v="1"/>
  </r>
  <r>
    <x v="1966"/>
    <x v="17"/>
    <x v="27"/>
    <n v="21.5"/>
    <x v="1213"/>
    <x v="71"/>
    <d v="2025-03-14T00:00:00"/>
    <s v="M"/>
    <x v="1"/>
    <x v="1"/>
    <x v="0"/>
    <x v="32"/>
    <x v="3"/>
    <x v="10"/>
    <x v="1"/>
  </r>
  <r>
    <x v="1967"/>
    <x v="3"/>
    <x v="9"/>
    <n v="85.3"/>
    <x v="1514"/>
    <x v="71"/>
    <d v="2025-03-15T00:00:00"/>
    <s v="F"/>
    <x v="3"/>
    <x v="0"/>
    <x v="0"/>
    <x v="18"/>
    <x v="1"/>
    <x v="10"/>
    <x v="2"/>
  </r>
  <r>
    <x v="1968"/>
    <x v="7"/>
    <x v="9"/>
    <n v="80.8"/>
    <x v="1515"/>
    <x v="71"/>
    <d v="2025-03-21T00:00:00"/>
    <s v="O"/>
    <x v="1"/>
    <x v="1"/>
    <x v="0"/>
    <x v="19"/>
    <x v="9"/>
    <x v="10"/>
    <x v="3"/>
  </r>
  <r>
    <x v="1969"/>
    <x v="2"/>
    <x v="2"/>
    <n v="123.1"/>
    <x v="1516"/>
    <x v="71"/>
    <d v="2025-03-15T00:00:00"/>
    <s v=""/>
    <x v="2"/>
    <x v="0"/>
    <x v="0"/>
    <x v="21"/>
    <x v="1"/>
    <x v="10"/>
    <x v="0"/>
  </r>
  <r>
    <x v="1970"/>
    <x v="8"/>
    <x v="1"/>
    <n v="36.9"/>
    <x v="1517"/>
    <x v="71"/>
    <d v="2025-03-15T00:00:00"/>
    <s v="F"/>
    <x v="2"/>
    <x v="4"/>
    <x v="0"/>
    <x v="51"/>
    <x v="1"/>
    <x v="10"/>
    <x v="2"/>
  </r>
  <r>
    <x v="1971"/>
    <x v="11"/>
    <x v="9"/>
    <n v="40"/>
    <x v="308"/>
    <x v="71"/>
    <d v="2025-03-14T00:00:00"/>
    <s v="M"/>
    <x v="0"/>
    <x v="0"/>
    <x v="0"/>
    <x v="1"/>
    <x v="3"/>
    <x v="10"/>
    <x v="1"/>
  </r>
  <r>
    <x v="1972"/>
    <x v="6"/>
    <x v="2"/>
    <n v="55.5"/>
    <x v="1256"/>
    <x v="71"/>
    <d v="2025-03-14T00:00:00"/>
    <s v="M"/>
    <x v="4"/>
    <x v="2"/>
    <x v="0"/>
    <x v="1"/>
    <x v="3"/>
    <x v="10"/>
    <x v="1"/>
  </r>
  <r>
    <x v="1973"/>
    <x v="0"/>
    <x v="12"/>
    <n v="20.5"/>
    <x v="1518"/>
    <x v="71"/>
    <d v="2025-03-17T00:00:00"/>
    <s v="F"/>
    <x v="4"/>
    <x v="0"/>
    <x v="0"/>
    <x v="1"/>
    <x v="5"/>
    <x v="10"/>
    <x v="2"/>
  </r>
  <r>
    <x v="1974"/>
    <x v="18"/>
    <x v="12"/>
    <n v="50.1"/>
    <x v="1519"/>
    <x v="71"/>
    <d v="2025-03-14T00:00:00"/>
    <s v="F"/>
    <x v="4"/>
    <x v="0"/>
    <x v="0"/>
    <x v="1"/>
    <x v="3"/>
    <x v="10"/>
    <x v="2"/>
  </r>
  <r>
    <x v="1975"/>
    <x v="9"/>
    <x v="0"/>
    <n v="35.9"/>
    <x v="1520"/>
    <x v="71"/>
    <d v="2025-03-15T00:00:00"/>
    <s v="M"/>
    <x v="1"/>
    <x v="2"/>
    <x v="0"/>
    <x v="1"/>
    <x v="1"/>
    <x v="10"/>
    <x v="1"/>
  </r>
  <r>
    <x v="1976"/>
    <x v="13"/>
    <x v="12"/>
    <n v="29.4"/>
    <x v="833"/>
    <x v="72"/>
    <d v="2025-03-15T00:00:00"/>
    <s v="M"/>
    <x v="2"/>
    <x v="2"/>
    <x v="0"/>
    <x v="33"/>
    <x v="3"/>
    <x v="10"/>
    <x v="1"/>
  </r>
  <r>
    <x v="1977"/>
    <x v="8"/>
    <x v="9"/>
    <n v="29.1"/>
    <x v="973"/>
    <x v="72"/>
    <d v="2025-03-22T00:00:00"/>
    <s v="O"/>
    <x v="2"/>
    <x v="1"/>
    <x v="0"/>
    <x v="33"/>
    <x v="9"/>
    <x v="10"/>
    <x v="3"/>
  </r>
  <r>
    <x v="1978"/>
    <x v="8"/>
    <x v="2"/>
    <n v="33.5"/>
    <x v="427"/>
    <x v="72"/>
    <d v="2025-03-26T00:00:00"/>
    <s v="M"/>
    <x v="0"/>
    <x v="2"/>
    <x v="0"/>
    <x v="22"/>
    <x v="13"/>
    <x v="10"/>
    <x v="1"/>
  </r>
  <r>
    <x v="1979"/>
    <x v="4"/>
    <x v="7"/>
    <n v="36"/>
    <x v="1521"/>
    <x v="72"/>
    <d v="2025-03-14T00:00:00"/>
    <s v="M"/>
    <x v="3"/>
    <x v="2"/>
    <x v="0"/>
    <x v="3"/>
    <x v="7"/>
    <x v="10"/>
    <x v="1"/>
  </r>
  <r>
    <x v="1980"/>
    <x v="16"/>
    <x v="2"/>
    <n v="57.3"/>
    <x v="1522"/>
    <x v="72"/>
    <d v="2025-03-18T00:00:00"/>
    <s v="F"/>
    <x v="0"/>
    <x v="2"/>
    <x v="0"/>
    <x v="3"/>
    <x v="5"/>
    <x v="10"/>
    <x v="2"/>
  </r>
  <r>
    <x v="1981"/>
    <x v="1"/>
    <x v="0"/>
    <n v="81.400000000000006"/>
    <x v="1523"/>
    <x v="72"/>
    <d v="2025-03-15T00:00:00"/>
    <s v="F"/>
    <x v="2"/>
    <x v="2"/>
    <x v="0"/>
    <x v="3"/>
    <x v="3"/>
    <x v="10"/>
    <x v="2"/>
  </r>
  <r>
    <x v="1982"/>
    <x v="10"/>
    <x v="1"/>
    <n v="35.299999999999997"/>
    <x v="527"/>
    <x v="72"/>
    <d v="2025-03-18T00:00:00"/>
    <s v="M"/>
    <x v="0"/>
    <x v="2"/>
    <x v="0"/>
    <x v="3"/>
    <x v="5"/>
    <x v="10"/>
    <x v="1"/>
  </r>
  <r>
    <x v="1983"/>
    <x v="3"/>
    <x v="0"/>
    <n v="36.1"/>
    <x v="168"/>
    <x v="72"/>
    <d v="2025-03-15T00:00:00"/>
    <s v="F"/>
    <x v="4"/>
    <x v="0"/>
    <x v="0"/>
    <x v="3"/>
    <x v="3"/>
    <x v="10"/>
    <x v="2"/>
  </r>
  <r>
    <x v="1984"/>
    <x v="1"/>
    <x v="1"/>
    <n v="36.700000000000003"/>
    <x v="1524"/>
    <x v="72"/>
    <d v="2025-03-16T00:00:00"/>
    <s v="F"/>
    <x v="0"/>
    <x v="2"/>
    <x v="0"/>
    <x v="3"/>
    <x v="1"/>
    <x v="10"/>
    <x v="2"/>
  </r>
  <r>
    <x v="1985"/>
    <x v="10"/>
    <x v="0"/>
    <n v="20.9"/>
    <x v="798"/>
    <x v="72"/>
    <d v="2025-03-16T00:00:00"/>
    <s v="F"/>
    <x v="0"/>
    <x v="4"/>
    <x v="0"/>
    <x v="3"/>
    <x v="1"/>
    <x v="10"/>
    <x v="2"/>
  </r>
  <r>
    <x v="1986"/>
    <x v="12"/>
    <x v="2"/>
    <n v="58.8"/>
    <x v="1525"/>
    <x v="72"/>
    <d v="2025-03-18T00:00:00"/>
    <s v="M"/>
    <x v="0"/>
    <x v="2"/>
    <x v="0"/>
    <x v="25"/>
    <x v="5"/>
    <x v="10"/>
    <x v="1"/>
  </r>
  <r>
    <x v="1987"/>
    <x v="2"/>
    <x v="2"/>
    <n v="97.6"/>
    <x v="1526"/>
    <x v="73"/>
    <d v="2025-03-17T00:00:00"/>
    <s v=""/>
    <x v="0"/>
    <x v="0"/>
    <x v="0"/>
    <x v="6"/>
    <x v="1"/>
    <x v="10"/>
    <x v="0"/>
  </r>
  <r>
    <x v="1988"/>
    <x v="1"/>
    <x v="1"/>
    <n v="58.7"/>
    <x v="1527"/>
    <x v="73"/>
    <d v="2025-03-18T00:00:00"/>
    <s v="F"/>
    <x v="0"/>
    <x v="1"/>
    <x v="0"/>
    <x v="6"/>
    <x v="2"/>
    <x v="10"/>
    <x v="2"/>
  </r>
  <r>
    <x v="1989"/>
    <x v="6"/>
    <x v="9"/>
    <n v="71.900000000000006"/>
    <x v="1528"/>
    <x v="73"/>
    <d v="2025-03-16T00:00:00"/>
    <s v=""/>
    <x v="0"/>
    <x v="1"/>
    <x v="0"/>
    <x v="6"/>
    <x v="3"/>
    <x v="10"/>
    <x v="0"/>
  </r>
  <r>
    <x v="1990"/>
    <x v="1"/>
    <x v="1"/>
    <n v="62.4"/>
    <x v="1109"/>
    <x v="73"/>
    <d v="2025-03-17T00:00:00"/>
    <s v=""/>
    <x v="0"/>
    <x v="1"/>
    <x v="0"/>
    <x v="8"/>
    <x v="1"/>
    <x v="10"/>
    <x v="0"/>
  </r>
  <r>
    <x v="1991"/>
    <x v="6"/>
    <x v="27"/>
    <n v="53.8"/>
    <x v="1529"/>
    <x v="73"/>
    <d v="2025-03-16T00:00:00"/>
    <s v="F"/>
    <x v="1"/>
    <x v="0"/>
    <x v="0"/>
    <x v="8"/>
    <x v="3"/>
    <x v="10"/>
    <x v="2"/>
  </r>
  <r>
    <x v="1992"/>
    <x v="9"/>
    <x v="0"/>
    <n v="43.8"/>
    <x v="328"/>
    <x v="73"/>
    <d v="2025-03-22T00:00:00"/>
    <s v="F"/>
    <x v="0"/>
    <x v="2"/>
    <x v="0"/>
    <x v="8"/>
    <x v="6"/>
    <x v="10"/>
    <x v="2"/>
  </r>
  <r>
    <x v="1993"/>
    <x v="5"/>
    <x v="2"/>
    <n v="53.6"/>
    <x v="1530"/>
    <x v="73"/>
    <d v="2025-03-16T00:00:00"/>
    <s v="M"/>
    <x v="3"/>
    <x v="0"/>
    <x v="0"/>
    <x v="8"/>
    <x v="3"/>
    <x v="10"/>
    <x v="1"/>
  </r>
  <r>
    <x v="1994"/>
    <x v="12"/>
    <x v="1"/>
    <n v="84.3"/>
    <x v="1531"/>
    <x v="73"/>
    <d v="2025-03-18T00:00:00"/>
    <s v="M"/>
    <x v="4"/>
    <x v="1"/>
    <x v="0"/>
    <x v="8"/>
    <x v="2"/>
    <x v="10"/>
    <x v="1"/>
  </r>
  <r>
    <x v="1995"/>
    <x v="6"/>
    <x v="11"/>
    <n v="117.9"/>
    <x v="1532"/>
    <x v="73"/>
    <d v="2025-03-16T00:00:00"/>
    <s v="F"/>
    <x v="1"/>
    <x v="2"/>
    <x v="0"/>
    <x v="8"/>
    <x v="3"/>
    <x v="10"/>
    <x v="2"/>
  </r>
  <r>
    <x v="1996"/>
    <x v="4"/>
    <x v="8"/>
    <n v="30"/>
    <x v="1533"/>
    <x v="73"/>
    <d v="2025-03-16T00:00:00"/>
    <s v="F"/>
    <x v="1"/>
    <x v="0"/>
    <x v="0"/>
    <x v="26"/>
    <x v="3"/>
    <x v="10"/>
    <x v="2"/>
  </r>
  <r>
    <x v="1997"/>
    <x v="14"/>
    <x v="2"/>
    <n v="37.299999999999997"/>
    <x v="1534"/>
    <x v="73"/>
    <d v="2025-03-16T00:00:00"/>
    <s v="M"/>
    <x v="2"/>
    <x v="0"/>
    <x v="0"/>
    <x v="9"/>
    <x v="3"/>
    <x v="10"/>
    <x v="1"/>
  </r>
  <r>
    <x v="1998"/>
    <x v="4"/>
    <x v="11"/>
    <n v="25.1"/>
    <x v="1535"/>
    <x v="73"/>
    <d v="2025-03-17T00:00:00"/>
    <s v="M"/>
    <x v="1"/>
    <x v="2"/>
    <x v="0"/>
    <x v="11"/>
    <x v="1"/>
    <x v="10"/>
    <x v="1"/>
  </r>
  <r>
    <x v="1999"/>
    <x v="8"/>
    <x v="5"/>
    <n v="36"/>
    <x v="501"/>
    <x v="73"/>
    <d v="2025-03-25T00:00:00"/>
    <s v="M"/>
    <x v="1"/>
    <x v="0"/>
    <x v="0"/>
    <x v="18"/>
    <x v="14"/>
    <x v="10"/>
    <x v="1"/>
  </r>
  <r>
    <x v="2000"/>
    <x v="16"/>
    <x v="2"/>
    <n v="48.5"/>
    <x v="973"/>
    <x v="73"/>
    <d v="2025-03-19T00:00:00"/>
    <s v="F"/>
    <x v="1"/>
    <x v="0"/>
    <x v="0"/>
    <x v="19"/>
    <x v="5"/>
    <x v="10"/>
    <x v="2"/>
  </r>
  <r>
    <x v="2001"/>
    <x v="17"/>
    <x v="13"/>
    <n v="21.1"/>
    <x v="1077"/>
    <x v="73"/>
    <d v="2025-03-16T00:00:00"/>
    <s v="M"/>
    <x v="1"/>
    <x v="2"/>
    <x v="0"/>
    <x v="21"/>
    <x v="3"/>
    <x v="10"/>
    <x v="1"/>
  </r>
  <r>
    <x v="2002"/>
    <x v="15"/>
    <x v="21"/>
    <n v="43.2"/>
    <x v="1536"/>
    <x v="73"/>
    <d v="2025-03-16T00:00:00"/>
    <s v="O"/>
    <x v="0"/>
    <x v="1"/>
    <x v="0"/>
    <x v="21"/>
    <x v="3"/>
    <x v="10"/>
    <x v="3"/>
  </r>
  <r>
    <x v="2003"/>
    <x v="9"/>
    <x v="1"/>
    <n v="21.1"/>
    <x v="1283"/>
    <x v="73"/>
    <d v="2025-03-16T00:00:00"/>
    <s v=""/>
    <x v="3"/>
    <x v="1"/>
    <x v="0"/>
    <x v="21"/>
    <x v="3"/>
    <x v="10"/>
    <x v="0"/>
  </r>
  <r>
    <x v="2004"/>
    <x v="6"/>
    <x v="12"/>
    <n v="41.3"/>
    <x v="1537"/>
    <x v="73"/>
    <d v="2025-03-17T00:00:00"/>
    <s v="F"/>
    <x v="3"/>
    <x v="2"/>
    <x v="0"/>
    <x v="1"/>
    <x v="1"/>
    <x v="10"/>
    <x v="2"/>
  </r>
  <r>
    <x v="2005"/>
    <x v="8"/>
    <x v="1"/>
    <n v="15.3"/>
    <x v="1538"/>
    <x v="73"/>
    <d v="2025-03-18T00:00:00"/>
    <s v=""/>
    <x v="2"/>
    <x v="2"/>
    <x v="0"/>
    <x v="1"/>
    <x v="2"/>
    <x v="10"/>
    <x v="0"/>
  </r>
  <r>
    <x v="2006"/>
    <x v="1"/>
    <x v="0"/>
    <n v="54.6"/>
    <x v="1539"/>
    <x v="73"/>
    <d v="2025-03-17T00:00:00"/>
    <s v="M"/>
    <x v="1"/>
    <x v="1"/>
    <x v="0"/>
    <x v="2"/>
    <x v="1"/>
    <x v="10"/>
    <x v="1"/>
  </r>
  <r>
    <x v="2007"/>
    <x v="8"/>
    <x v="0"/>
    <n v="15.9"/>
    <x v="1021"/>
    <x v="73"/>
    <d v="2025-03-16T00:00:00"/>
    <s v="M"/>
    <x v="0"/>
    <x v="1"/>
    <x v="0"/>
    <x v="22"/>
    <x v="3"/>
    <x v="10"/>
    <x v="1"/>
  </r>
  <r>
    <x v="2008"/>
    <x v="9"/>
    <x v="0"/>
    <n v="50.2"/>
    <x v="486"/>
    <x v="73"/>
    <d v="2025-03-17T00:00:00"/>
    <s v="F"/>
    <x v="3"/>
    <x v="2"/>
    <x v="0"/>
    <x v="34"/>
    <x v="1"/>
    <x v="10"/>
    <x v="2"/>
  </r>
  <r>
    <x v="2009"/>
    <x v="11"/>
    <x v="12"/>
    <n v="85.1"/>
    <x v="1540"/>
    <x v="73"/>
    <d v="2025-03-16T00:00:00"/>
    <s v="F"/>
    <x v="3"/>
    <x v="4"/>
    <x v="0"/>
    <x v="34"/>
    <x v="3"/>
    <x v="10"/>
    <x v="2"/>
  </r>
  <r>
    <x v="2010"/>
    <x v="11"/>
    <x v="1"/>
    <n v="41.4"/>
    <x v="1182"/>
    <x v="73"/>
    <d v="2025-03-16T00:00:00"/>
    <s v="F"/>
    <x v="0"/>
    <x v="2"/>
    <x v="0"/>
    <x v="3"/>
    <x v="3"/>
    <x v="10"/>
    <x v="2"/>
  </r>
  <r>
    <x v="2011"/>
    <x v="4"/>
    <x v="3"/>
    <n v="32.700000000000003"/>
    <x v="1541"/>
    <x v="73"/>
    <d v="2025-03-16T00:00:00"/>
    <s v="F"/>
    <x v="2"/>
    <x v="1"/>
    <x v="0"/>
    <x v="3"/>
    <x v="3"/>
    <x v="10"/>
    <x v="2"/>
  </r>
  <r>
    <x v="2012"/>
    <x v="4"/>
    <x v="1"/>
    <n v="41.6"/>
    <x v="707"/>
    <x v="73"/>
    <d v="2025-03-17T00:00:00"/>
    <s v="M"/>
    <x v="4"/>
    <x v="1"/>
    <x v="0"/>
    <x v="3"/>
    <x v="1"/>
    <x v="10"/>
    <x v="1"/>
  </r>
  <r>
    <x v="2013"/>
    <x v="5"/>
    <x v="12"/>
    <n v="64.8"/>
    <x v="629"/>
    <x v="73"/>
    <d v="2025-03-16T00:00:00"/>
    <s v=""/>
    <x v="2"/>
    <x v="0"/>
    <x v="0"/>
    <x v="3"/>
    <x v="3"/>
    <x v="10"/>
    <x v="0"/>
  </r>
  <r>
    <x v="2014"/>
    <x v="15"/>
    <x v="1"/>
    <n v="33.6"/>
    <x v="863"/>
    <x v="73"/>
    <d v="2025-03-16T00:00:00"/>
    <s v="M"/>
    <x v="0"/>
    <x v="2"/>
    <x v="0"/>
    <x v="3"/>
    <x v="3"/>
    <x v="10"/>
    <x v="1"/>
  </r>
  <r>
    <x v="2015"/>
    <x v="6"/>
    <x v="2"/>
    <n v="100.7"/>
    <x v="1542"/>
    <x v="73"/>
    <d v="2025-03-16T00:00:00"/>
    <s v=""/>
    <x v="1"/>
    <x v="0"/>
    <x v="0"/>
    <x v="3"/>
    <x v="3"/>
    <x v="10"/>
    <x v="0"/>
  </r>
  <r>
    <x v="2016"/>
    <x v="4"/>
    <x v="1"/>
    <n v="49.3"/>
    <x v="1543"/>
    <x v="74"/>
    <d v="2025-03-18T00:00:00"/>
    <s v="F"/>
    <x v="4"/>
    <x v="2"/>
    <x v="0"/>
    <x v="3"/>
    <x v="1"/>
    <x v="11"/>
    <x v="2"/>
  </r>
  <r>
    <x v="2017"/>
    <x v="2"/>
    <x v="13"/>
    <n v="97"/>
    <x v="1544"/>
    <x v="74"/>
    <d v="2025-03-19T00:00:00"/>
    <s v="M"/>
    <x v="2"/>
    <x v="2"/>
    <x v="0"/>
    <x v="3"/>
    <x v="2"/>
    <x v="11"/>
    <x v="1"/>
  </r>
  <r>
    <x v="2018"/>
    <x v="0"/>
    <x v="13"/>
    <n v="25.2"/>
    <x v="277"/>
    <x v="74"/>
    <d v="2025-03-19T00:00:00"/>
    <s v="F"/>
    <x v="4"/>
    <x v="2"/>
    <x v="0"/>
    <x v="3"/>
    <x v="2"/>
    <x v="11"/>
    <x v="2"/>
  </r>
  <r>
    <x v="2019"/>
    <x v="0"/>
    <x v="5"/>
    <n v="12.2"/>
    <x v="1545"/>
    <x v="74"/>
    <d v="2025-03-17T00:00:00"/>
    <s v=""/>
    <x v="0"/>
    <x v="1"/>
    <x v="0"/>
    <x v="3"/>
    <x v="3"/>
    <x v="11"/>
    <x v="0"/>
  </r>
  <r>
    <x v="2020"/>
    <x v="8"/>
    <x v="3"/>
    <n v="38.799999999999997"/>
    <x v="1546"/>
    <x v="74"/>
    <d v="2025-03-18T00:00:00"/>
    <s v="F"/>
    <x v="1"/>
    <x v="1"/>
    <x v="0"/>
    <x v="23"/>
    <x v="1"/>
    <x v="11"/>
    <x v="2"/>
  </r>
  <r>
    <x v="2021"/>
    <x v="2"/>
    <x v="12"/>
    <n v="53.2"/>
    <x v="1547"/>
    <x v="74"/>
    <d v="2025-03-17T00:00:00"/>
    <s v="M"/>
    <x v="0"/>
    <x v="2"/>
    <x v="0"/>
    <x v="8"/>
    <x v="3"/>
    <x v="11"/>
    <x v="1"/>
  </r>
  <r>
    <x v="2022"/>
    <x v="6"/>
    <x v="3"/>
    <n v="151"/>
    <x v="1548"/>
    <x v="74"/>
    <d v="2025-03-17T00:00:00"/>
    <s v="O"/>
    <x v="1"/>
    <x v="1"/>
    <x v="0"/>
    <x v="8"/>
    <x v="3"/>
    <x v="11"/>
    <x v="3"/>
  </r>
  <r>
    <x v="2023"/>
    <x v="1"/>
    <x v="1"/>
    <n v="37.1"/>
    <x v="1314"/>
    <x v="74"/>
    <d v="2025-03-17T00:00:00"/>
    <s v="F"/>
    <x v="4"/>
    <x v="0"/>
    <x v="0"/>
    <x v="8"/>
    <x v="3"/>
    <x v="11"/>
    <x v="2"/>
  </r>
  <r>
    <x v="2024"/>
    <x v="5"/>
    <x v="1"/>
    <n v="38.9"/>
    <x v="482"/>
    <x v="74"/>
    <d v="2025-03-17T00:00:00"/>
    <s v="M"/>
    <x v="4"/>
    <x v="0"/>
    <x v="0"/>
    <x v="8"/>
    <x v="3"/>
    <x v="11"/>
    <x v="1"/>
  </r>
  <r>
    <x v="2025"/>
    <x v="10"/>
    <x v="1"/>
    <n v="35.200000000000003"/>
    <x v="1549"/>
    <x v="74"/>
    <d v="2025-03-17T00:00:00"/>
    <s v="M"/>
    <x v="0"/>
    <x v="2"/>
    <x v="0"/>
    <x v="17"/>
    <x v="3"/>
    <x v="11"/>
    <x v="1"/>
  </r>
  <r>
    <x v="2026"/>
    <x v="0"/>
    <x v="1"/>
    <n v="22.3"/>
    <x v="225"/>
    <x v="74"/>
    <d v="2025-03-18T00:00:00"/>
    <s v="F"/>
    <x v="1"/>
    <x v="0"/>
    <x v="0"/>
    <x v="9"/>
    <x v="1"/>
    <x v="11"/>
    <x v="2"/>
  </r>
  <r>
    <x v="2027"/>
    <x v="9"/>
    <x v="0"/>
    <n v="43.3"/>
    <x v="1286"/>
    <x v="74"/>
    <d v="2025-03-19T00:00:00"/>
    <s v="F"/>
    <x v="0"/>
    <x v="2"/>
    <x v="0"/>
    <x v="11"/>
    <x v="2"/>
    <x v="11"/>
    <x v="2"/>
  </r>
  <r>
    <x v="2028"/>
    <x v="6"/>
    <x v="13"/>
    <n v="75.900000000000006"/>
    <x v="1550"/>
    <x v="74"/>
    <d v="2025-03-22T00:00:00"/>
    <s v="M"/>
    <x v="0"/>
    <x v="0"/>
    <x v="0"/>
    <x v="11"/>
    <x v="4"/>
    <x v="11"/>
    <x v="1"/>
  </r>
  <r>
    <x v="2029"/>
    <x v="6"/>
    <x v="2"/>
    <n v="78.7"/>
    <x v="1551"/>
    <x v="74"/>
    <d v="2025-03-20T00:00:00"/>
    <s v="F"/>
    <x v="2"/>
    <x v="1"/>
    <x v="0"/>
    <x v="11"/>
    <x v="5"/>
    <x v="11"/>
    <x v="2"/>
  </r>
  <r>
    <x v="2030"/>
    <x v="1"/>
    <x v="0"/>
    <n v="66.3"/>
    <x v="1124"/>
    <x v="74"/>
    <d v="2025-03-20T00:00:00"/>
    <s v="F"/>
    <x v="0"/>
    <x v="2"/>
    <x v="0"/>
    <x v="19"/>
    <x v="5"/>
    <x v="11"/>
    <x v="2"/>
  </r>
  <r>
    <x v="2031"/>
    <x v="8"/>
    <x v="1"/>
    <n v="33.6"/>
    <x v="863"/>
    <x v="74"/>
    <d v="2025-03-16T00:00:00"/>
    <s v="M"/>
    <x v="0"/>
    <x v="1"/>
    <x v="0"/>
    <x v="19"/>
    <x v="7"/>
    <x v="11"/>
    <x v="1"/>
  </r>
  <r>
    <x v="2032"/>
    <x v="2"/>
    <x v="3"/>
    <n v="61.4"/>
    <x v="1552"/>
    <x v="74"/>
    <d v="2025-03-17T00:00:00"/>
    <s v="M"/>
    <x v="4"/>
    <x v="0"/>
    <x v="0"/>
    <x v="19"/>
    <x v="3"/>
    <x v="11"/>
    <x v="1"/>
  </r>
  <r>
    <x v="2033"/>
    <x v="8"/>
    <x v="1"/>
    <n v="17.5"/>
    <x v="1553"/>
    <x v="74"/>
    <d v="2025-03-19T00:00:00"/>
    <s v="F"/>
    <x v="0"/>
    <x v="0"/>
    <x v="0"/>
    <x v="21"/>
    <x v="2"/>
    <x v="11"/>
    <x v="2"/>
  </r>
  <r>
    <x v="2034"/>
    <x v="8"/>
    <x v="1"/>
    <n v="32.5"/>
    <x v="891"/>
    <x v="74"/>
    <d v="2025-03-19T00:00:00"/>
    <s v="F"/>
    <x v="1"/>
    <x v="0"/>
    <x v="0"/>
    <x v="21"/>
    <x v="2"/>
    <x v="11"/>
    <x v="2"/>
  </r>
  <r>
    <x v="2035"/>
    <x v="4"/>
    <x v="0"/>
    <n v="34.6"/>
    <x v="169"/>
    <x v="74"/>
    <d v="2025-03-17T00:00:00"/>
    <s v="F"/>
    <x v="4"/>
    <x v="0"/>
    <x v="0"/>
    <x v="21"/>
    <x v="3"/>
    <x v="11"/>
    <x v="2"/>
  </r>
  <r>
    <x v="2036"/>
    <x v="2"/>
    <x v="0"/>
    <n v="75.900000000000006"/>
    <x v="1554"/>
    <x v="74"/>
    <d v="2025-03-16T00:00:00"/>
    <s v="M"/>
    <x v="1"/>
    <x v="2"/>
    <x v="0"/>
    <x v="21"/>
    <x v="7"/>
    <x v="11"/>
    <x v="1"/>
  </r>
  <r>
    <x v="2037"/>
    <x v="1"/>
    <x v="2"/>
    <n v="42.1"/>
    <x v="1555"/>
    <x v="74"/>
    <d v="2025-03-19T00:00:00"/>
    <s v="M"/>
    <x v="1"/>
    <x v="1"/>
    <x v="0"/>
    <x v="21"/>
    <x v="2"/>
    <x v="11"/>
    <x v="1"/>
  </r>
  <r>
    <x v="2038"/>
    <x v="7"/>
    <x v="2"/>
    <n v="65.3"/>
    <x v="243"/>
    <x v="74"/>
    <d v="2025-03-23T00:00:00"/>
    <s v="M"/>
    <x v="0"/>
    <x v="0"/>
    <x v="0"/>
    <x v="1"/>
    <x v="6"/>
    <x v="11"/>
    <x v="1"/>
  </r>
  <r>
    <x v="2039"/>
    <x v="15"/>
    <x v="0"/>
    <n v="20.6"/>
    <x v="1500"/>
    <x v="74"/>
    <d v="2025-03-19T00:00:00"/>
    <s v="M"/>
    <x v="3"/>
    <x v="0"/>
    <x v="0"/>
    <x v="42"/>
    <x v="2"/>
    <x v="11"/>
    <x v="1"/>
  </r>
  <r>
    <x v="2040"/>
    <x v="8"/>
    <x v="3"/>
    <n v="16.5"/>
    <x v="100"/>
    <x v="74"/>
    <d v="2025-03-17T00:00:00"/>
    <s v="M"/>
    <x v="1"/>
    <x v="1"/>
    <x v="0"/>
    <x v="2"/>
    <x v="3"/>
    <x v="11"/>
    <x v="1"/>
  </r>
  <r>
    <x v="2041"/>
    <x v="16"/>
    <x v="7"/>
    <n v="36.200000000000003"/>
    <x v="1556"/>
    <x v="74"/>
    <d v="2025-03-18T00:00:00"/>
    <s v="M"/>
    <x v="0"/>
    <x v="2"/>
    <x v="0"/>
    <x v="2"/>
    <x v="1"/>
    <x v="11"/>
    <x v="1"/>
  </r>
  <r>
    <x v="2042"/>
    <x v="6"/>
    <x v="0"/>
    <n v="53.2"/>
    <x v="1557"/>
    <x v="74"/>
    <d v="2025-03-17T00:00:00"/>
    <s v="F"/>
    <x v="0"/>
    <x v="1"/>
    <x v="0"/>
    <x v="22"/>
    <x v="3"/>
    <x v="11"/>
    <x v="2"/>
  </r>
  <r>
    <x v="2043"/>
    <x v="2"/>
    <x v="21"/>
    <n v="176"/>
    <x v="1558"/>
    <x v="74"/>
    <d v="2025-03-17T00:00:00"/>
    <s v="F"/>
    <x v="0"/>
    <x v="1"/>
    <x v="0"/>
    <x v="3"/>
    <x v="3"/>
    <x v="11"/>
    <x v="2"/>
  </r>
  <r>
    <x v="2044"/>
    <x v="1"/>
    <x v="0"/>
    <n v="52.4"/>
    <x v="1559"/>
    <x v="74"/>
    <d v="2025-03-17T00:00:00"/>
    <s v="M"/>
    <x v="1"/>
    <x v="0"/>
    <x v="0"/>
    <x v="3"/>
    <x v="3"/>
    <x v="11"/>
    <x v="1"/>
  </r>
  <r>
    <x v="2045"/>
    <x v="10"/>
    <x v="2"/>
    <n v="48.2"/>
    <x v="1435"/>
    <x v="74"/>
    <d v="2025-03-17T00:00:00"/>
    <s v="F"/>
    <x v="1"/>
    <x v="2"/>
    <x v="0"/>
    <x v="3"/>
    <x v="3"/>
    <x v="11"/>
    <x v="2"/>
  </r>
  <r>
    <x v="2046"/>
    <x v="15"/>
    <x v="0"/>
    <n v="51.6"/>
    <x v="937"/>
    <x v="74"/>
    <d v="2025-03-20T00:00:00"/>
    <s v="F"/>
    <x v="2"/>
    <x v="1"/>
    <x v="0"/>
    <x v="3"/>
    <x v="5"/>
    <x v="11"/>
    <x v="2"/>
  </r>
  <r>
    <x v="2047"/>
    <x v="0"/>
    <x v="12"/>
    <n v="33.700000000000003"/>
    <x v="1093"/>
    <x v="75"/>
    <d v="2025-03-18T00:00:00"/>
    <s v="M"/>
    <x v="0"/>
    <x v="0"/>
    <x v="0"/>
    <x v="3"/>
    <x v="3"/>
    <x v="11"/>
    <x v="1"/>
  </r>
  <r>
    <x v="2048"/>
    <x v="4"/>
    <x v="7"/>
    <n v="36.299999999999997"/>
    <x v="1560"/>
    <x v="75"/>
    <d v="2025-03-19T00:00:00"/>
    <s v="F"/>
    <x v="4"/>
    <x v="1"/>
    <x v="0"/>
    <x v="3"/>
    <x v="1"/>
    <x v="11"/>
    <x v="2"/>
  </r>
  <r>
    <x v="2049"/>
    <x v="8"/>
    <x v="0"/>
    <n v="23.4"/>
    <x v="1561"/>
    <x v="75"/>
    <d v="2025-03-22T00:00:00"/>
    <s v="F"/>
    <x v="1"/>
    <x v="2"/>
    <x v="0"/>
    <x v="3"/>
    <x v="0"/>
    <x v="11"/>
    <x v="2"/>
  </r>
  <r>
    <x v="2050"/>
    <x v="15"/>
    <x v="8"/>
    <n v="56.6"/>
    <x v="1562"/>
    <x v="75"/>
    <d v="2025-03-19T00:00:00"/>
    <s v="F"/>
    <x v="1"/>
    <x v="0"/>
    <x v="0"/>
    <x v="3"/>
    <x v="1"/>
    <x v="11"/>
    <x v="2"/>
  </r>
  <r>
    <x v="2051"/>
    <x v="15"/>
    <x v="1"/>
    <n v="26.8"/>
    <x v="1563"/>
    <x v="75"/>
    <d v="2025-03-18T00:00:00"/>
    <s v="M"/>
    <x v="0"/>
    <x v="0"/>
    <x v="0"/>
    <x v="4"/>
    <x v="3"/>
    <x v="11"/>
    <x v="1"/>
  </r>
  <r>
    <x v="2052"/>
    <x v="0"/>
    <x v="2"/>
    <n v="11.3"/>
    <x v="1564"/>
    <x v="75"/>
    <d v="2025-03-19T00:00:00"/>
    <s v="M"/>
    <x v="2"/>
    <x v="0"/>
    <x v="0"/>
    <x v="25"/>
    <x v="1"/>
    <x v="11"/>
    <x v="1"/>
  </r>
  <r>
    <x v="2053"/>
    <x v="6"/>
    <x v="2"/>
    <n v="60.1"/>
    <x v="1565"/>
    <x v="75"/>
    <d v="2025-03-20T00:00:00"/>
    <s v="F"/>
    <x v="0"/>
    <x v="0"/>
    <x v="0"/>
    <x v="7"/>
    <x v="2"/>
    <x v="11"/>
    <x v="2"/>
  </r>
  <r>
    <x v="2054"/>
    <x v="0"/>
    <x v="5"/>
    <n v="27.7"/>
    <x v="1566"/>
    <x v="75"/>
    <d v="2025-03-22T00:00:00"/>
    <s v="F"/>
    <x v="0"/>
    <x v="0"/>
    <x v="0"/>
    <x v="8"/>
    <x v="0"/>
    <x v="11"/>
    <x v="2"/>
  </r>
  <r>
    <x v="2055"/>
    <x v="15"/>
    <x v="0"/>
    <n v="71.400000000000006"/>
    <x v="660"/>
    <x v="75"/>
    <d v="2025-03-20T00:00:00"/>
    <s v="M"/>
    <x v="0"/>
    <x v="2"/>
    <x v="0"/>
    <x v="8"/>
    <x v="2"/>
    <x v="11"/>
    <x v="1"/>
  </r>
  <r>
    <x v="2056"/>
    <x v="2"/>
    <x v="1"/>
    <n v="66.7"/>
    <x v="1567"/>
    <x v="75"/>
    <d v="2025-03-18T00:00:00"/>
    <s v="F"/>
    <x v="0"/>
    <x v="2"/>
    <x v="0"/>
    <x v="8"/>
    <x v="3"/>
    <x v="11"/>
    <x v="2"/>
  </r>
  <r>
    <x v="2057"/>
    <x v="13"/>
    <x v="9"/>
    <n v="39.1"/>
    <x v="1568"/>
    <x v="75"/>
    <d v="2025-03-18T00:00:00"/>
    <s v="F"/>
    <x v="0"/>
    <x v="0"/>
    <x v="0"/>
    <x v="8"/>
    <x v="3"/>
    <x v="11"/>
    <x v="2"/>
  </r>
  <r>
    <x v="2058"/>
    <x v="8"/>
    <x v="12"/>
    <n v="24.9"/>
    <x v="1569"/>
    <x v="75"/>
    <d v="2025-03-22T00:00:00"/>
    <s v="M"/>
    <x v="1"/>
    <x v="2"/>
    <x v="0"/>
    <x v="8"/>
    <x v="0"/>
    <x v="11"/>
    <x v="1"/>
  </r>
  <r>
    <x v="2059"/>
    <x v="5"/>
    <x v="9"/>
    <n v="29.2"/>
    <x v="1570"/>
    <x v="75"/>
    <d v="2025-03-18T00:00:00"/>
    <s v="M"/>
    <x v="0"/>
    <x v="2"/>
    <x v="0"/>
    <x v="17"/>
    <x v="3"/>
    <x v="11"/>
    <x v="1"/>
  </r>
  <r>
    <x v="2060"/>
    <x v="13"/>
    <x v="21"/>
    <n v="28.3"/>
    <x v="1571"/>
    <x v="75"/>
    <d v="2025-03-19T00:00:00"/>
    <s v="F"/>
    <x v="1"/>
    <x v="0"/>
    <x v="0"/>
    <x v="11"/>
    <x v="1"/>
    <x v="11"/>
    <x v="2"/>
  </r>
  <r>
    <x v="2061"/>
    <x v="9"/>
    <x v="2"/>
    <n v="37.799999999999997"/>
    <x v="1413"/>
    <x v="75"/>
    <d v="2025-03-18T00:00:00"/>
    <s v="F"/>
    <x v="0"/>
    <x v="1"/>
    <x v="0"/>
    <x v="11"/>
    <x v="3"/>
    <x v="11"/>
    <x v="2"/>
  </r>
  <r>
    <x v="2062"/>
    <x v="14"/>
    <x v="3"/>
    <n v="28.1"/>
    <x v="1572"/>
    <x v="75"/>
    <d v="2025-03-23T00:00:00"/>
    <s v="F"/>
    <x v="2"/>
    <x v="0"/>
    <x v="0"/>
    <x v="11"/>
    <x v="4"/>
    <x v="11"/>
    <x v="2"/>
  </r>
  <r>
    <x v="2063"/>
    <x v="1"/>
    <x v="2"/>
    <n v="59.7"/>
    <x v="1573"/>
    <x v="75"/>
    <d v="2025-03-19T00:00:00"/>
    <s v="F"/>
    <x v="2"/>
    <x v="0"/>
    <x v="0"/>
    <x v="11"/>
    <x v="1"/>
    <x v="11"/>
    <x v="2"/>
  </r>
  <r>
    <x v="2064"/>
    <x v="16"/>
    <x v="0"/>
    <n v="71.900000000000006"/>
    <x v="1574"/>
    <x v="75"/>
    <d v="2025-03-18T00:00:00"/>
    <s v="M"/>
    <x v="1"/>
    <x v="1"/>
    <x v="0"/>
    <x v="11"/>
    <x v="3"/>
    <x v="11"/>
    <x v="1"/>
  </r>
  <r>
    <x v="2065"/>
    <x v="1"/>
    <x v="1"/>
    <n v="56.9"/>
    <x v="1575"/>
    <x v="75"/>
    <d v="2025-03-18T00:00:00"/>
    <s v="M"/>
    <x v="2"/>
    <x v="0"/>
    <x v="0"/>
    <x v="13"/>
    <x v="3"/>
    <x v="11"/>
    <x v="1"/>
  </r>
  <r>
    <x v="2066"/>
    <x v="8"/>
    <x v="1"/>
    <n v="15.8"/>
    <x v="35"/>
    <x v="75"/>
    <d v="2025-03-20T00:00:00"/>
    <s v="F"/>
    <x v="2"/>
    <x v="1"/>
    <x v="0"/>
    <x v="1"/>
    <x v="2"/>
    <x v="11"/>
    <x v="2"/>
  </r>
  <r>
    <x v="2067"/>
    <x v="11"/>
    <x v="12"/>
    <n v="61.7"/>
    <x v="1576"/>
    <x v="75"/>
    <d v="2025-03-19T00:00:00"/>
    <s v="F"/>
    <x v="2"/>
    <x v="0"/>
    <x v="0"/>
    <x v="22"/>
    <x v="1"/>
    <x v="11"/>
    <x v="2"/>
  </r>
  <r>
    <x v="2068"/>
    <x v="2"/>
    <x v="7"/>
    <n v="105.2"/>
    <x v="1577"/>
    <x v="75"/>
    <d v="2025-03-19T00:00:00"/>
    <s v="M"/>
    <x v="1"/>
    <x v="4"/>
    <x v="0"/>
    <x v="3"/>
    <x v="1"/>
    <x v="11"/>
    <x v="1"/>
  </r>
  <r>
    <x v="2069"/>
    <x v="0"/>
    <x v="1"/>
    <n v="17"/>
    <x v="1222"/>
    <x v="75"/>
    <d v="2025-03-19T00:00:00"/>
    <s v="F"/>
    <x v="2"/>
    <x v="0"/>
    <x v="0"/>
    <x v="3"/>
    <x v="1"/>
    <x v="11"/>
    <x v="2"/>
  </r>
  <r>
    <x v="2070"/>
    <x v="6"/>
    <x v="2"/>
    <n v="84.1"/>
    <x v="1578"/>
    <x v="75"/>
    <d v="2025-03-18T00:00:00"/>
    <s v="M"/>
    <x v="2"/>
    <x v="0"/>
    <x v="0"/>
    <x v="3"/>
    <x v="3"/>
    <x v="11"/>
    <x v="1"/>
  </r>
  <r>
    <x v="2071"/>
    <x v="3"/>
    <x v="12"/>
    <n v="59.5"/>
    <x v="1248"/>
    <x v="75"/>
    <d v="2025-03-22T00:00:00"/>
    <s v="M"/>
    <x v="0"/>
    <x v="2"/>
    <x v="0"/>
    <x v="3"/>
    <x v="0"/>
    <x v="11"/>
    <x v="1"/>
  </r>
  <r>
    <x v="2072"/>
    <x v="8"/>
    <x v="1"/>
    <n v="57.5"/>
    <x v="1579"/>
    <x v="75"/>
    <d v="2025-03-19T00:00:00"/>
    <s v="M"/>
    <x v="1"/>
    <x v="2"/>
    <x v="0"/>
    <x v="3"/>
    <x v="1"/>
    <x v="11"/>
    <x v="1"/>
  </r>
  <r>
    <x v="2073"/>
    <x v="8"/>
    <x v="0"/>
    <n v="34.299999999999997"/>
    <x v="1580"/>
    <x v="75"/>
    <d v="2025-03-18T00:00:00"/>
    <s v="F"/>
    <x v="4"/>
    <x v="2"/>
    <x v="0"/>
    <x v="3"/>
    <x v="3"/>
    <x v="11"/>
    <x v="2"/>
  </r>
  <r>
    <x v="2074"/>
    <x v="5"/>
    <x v="1"/>
    <n v="27.8"/>
    <x v="1581"/>
    <x v="76"/>
    <d v="2025-03-20T00:00:00"/>
    <s v="F"/>
    <x v="0"/>
    <x v="0"/>
    <x v="0"/>
    <x v="3"/>
    <x v="1"/>
    <x v="11"/>
    <x v="2"/>
  </r>
  <r>
    <x v="2075"/>
    <x v="12"/>
    <x v="1"/>
    <n v="85"/>
    <x v="393"/>
    <x v="76"/>
    <d v="2025-03-18T00:00:00"/>
    <s v="M"/>
    <x v="2"/>
    <x v="2"/>
    <x v="0"/>
    <x v="3"/>
    <x v="7"/>
    <x v="11"/>
    <x v="1"/>
  </r>
  <r>
    <x v="2076"/>
    <x v="6"/>
    <x v="1"/>
    <n v="95"/>
    <x v="1582"/>
    <x v="76"/>
    <d v="2025-03-20T00:00:00"/>
    <s v="F"/>
    <x v="0"/>
    <x v="0"/>
    <x v="0"/>
    <x v="3"/>
    <x v="1"/>
    <x v="11"/>
    <x v="2"/>
  </r>
  <r>
    <x v="2077"/>
    <x v="16"/>
    <x v="1"/>
    <n v="32"/>
    <x v="34"/>
    <x v="76"/>
    <d v="2025-03-20T00:00:00"/>
    <s v="M"/>
    <x v="0"/>
    <x v="1"/>
    <x v="0"/>
    <x v="3"/>
    <x v="1"/>
    <x v="11"/>
    <x v="1"/>
  </r>
  <r>
    <x v="2078"/>
    <x v="2"/>
    <x v="1"/>
    <n v="65.2"/>
    <x v="1583"/>
    <x v="76"/>
    <d v="2025-03-19T00:00:00"/>
    <s v="F"/>
    <x v="1"/>
    <x v="0"/>
    <x v="0"/>
    <x v="3"/>
    <x v="3"/>
    <x v="11"/>
    <x v="2"/>
  </r>
  <r>
    <x v="2079"/>
    <x v="17"/>
    <x v="12"/>
    <n v="22"/>
    <x v="1155"/>
    <x v="76"/>
    <d v="2025-03-19T00:00:00"/>
    <s v="M"/>
    <x v="1"/>
    <x v="2"/>
    <x v="0"/>
    <x v="3"/>
    <x v="3"/>
    <x v="11"/>
    <x v="1"/>
  </r>
  <r>
    <x v="2080"/>
    <x v="15"/>
    <x v="2"/>
    <n v="69.400000000000006"/>
    <x v="140"/>
    <x v="76"/>
    <d v="2025-03-21T00:00:00"/>
    <s v="M"/>
    <x v="1"/>
    <x v="2"/>
    <x v="0"/>
    <x v="3"/>
    <x v="2"/>
    <x v="11"/>
    <x v="1"/>
  </r>
  <r>
    <x v="2081"/>
    <x v="10"/>
    <x v="13"/>
    <n v="31.5"/>
    <x v="620"/>
    <x v="76"/>
    <d v="2025-03-20T00:00:00"/>
    <s v="F"/>
    <x v="0"/>
    <x v="2"/>
    <x v="0"/>
    <x v="3"/>
    <x v="1"/>
    <x v="11"/>
    <x v="2"/>
  </r>
  <r>
    <x v="2082"/>
    <x v="6"/>
    <x v="0"/>
    <n v="45.8"/>
    <x v="494"/>
    <x v="76"/>
    <d v="2025-03-22T00:00:00"/>
    <s v="O"/>
    <x v="0"/>
    <x v="0"/>
    <x v="0"/>
    <x v="3"/>
    <x v="5"/>
    <x v="11"/>
    <x v="3"/>
  </r>
  <r>
    <x v="2083"/>
    <x v="19"/>
    <x v="12"/>
    <n v="12.8"/>
    <x v="180"/>
    <x v="76"/>
    <d v="2025-03-25T00:00:00"/>
    <s v="F"/>
    <x v="1"/>
    <x v="1"/>
    <x v="0"/>
    <x v="5"/>
    <x v="6"/>
    <x v="11"/>
    <x v="2"/>
  </r>
  <r>
    <x v="2084"/>
    <x v="5"/>
    <x v="2"/>
    <n v="115.3"/>
    <x v="1584"/>
    <x v="76"/>
    <d v="2025-03-19T00:00:00"/>
    <s v="F"/>
    <x v="2"/>
    <x v="2"/>
    <x v="0"/>
    <x v="6"/>
    <x v="3"/>
    <x v="11"/>
    <x v="2"/>
  </r>
  <r>
    <x v="2085"/>
    <x v="5"/>
    <x v="1"/>
    <n v="85"/>
    <x v="393"/>
    <x v="76"/>
    <d v="2025-03-20T00:00:00"/>
    <s v="F"/>
    <x v="1"/>
    <x v="0"/>
    <x v="0"/>
    <x v="7"/>
    <x v="1"/>
    <x v="11"/>
    <x v="2"/>
  </r>
  <r>
    <x v="2086"/>
    <x v="8"/>
    <x v="2"/>
    <n v="56.6"/>
    <x v="1026"/>
    <x v="76"/>
    <d v="2025-03-19T00:00:00"/>
    <s v="F"/>
    <x v="1"/>
    <x v="2"/>
    <x v="0"/>
    <x v="7"/>
    <x v="3"/>
    <x v="11"/>
    <x v="2"/>
  </r>
  <r>
    <x v="2087"/>
    <x v="15"/>
    <x v="6"/>
    <n v="46.3"/>
    <x v="1585"/>
    <x v="76"/>
    <d v="2025-03-21T00:00:00"/>
    <s v="M"/>
    <x v="0"/>
    <x v="0"/>
    <x v="0"/>
    <x v="7"/>
    <x v="2"/>
    <x v="11"/>
    <x v="1"/>
  </r>
  <r>
    <x v="2088"/>
    <x v="14"/>
    <x v="12"/>
    <n v="23"/>
    <x v="988"/>
    <x v="76"/>
    <d v="2025-03-22T00:00:00"/>
    <s v="M"/>
    <x v="3"/>
    <x v="2"/>
    <x v="0"/>
    <x v="7"/>
    <x v="5"/>
    <x v="11"/>
    <x v="1"/>
  </r>
  <r>
    <x v="2089"/>
    <x v="8"/>
    <x v="13"/>
    <n v="42.1"/>
    <x v="1586"/>
    <x v="76"/>
    <d v="2025-03-20T00:00:00"/>
    <s v="M"/>
    <x v="4"/>
    <x v="0"/>
    <x v="0"/>
    <x v="8"/>
    <x v="1"/>
    <x v="11"/>
    <x v="1"/>
  </r>
  <r>
    <x v="2090"/>
    <x v="5"/>
    <x v="3"/>
    <n v="57.4"/>
    <x v="1587"/>
    <x v="76"/>
    <d v="2025-03-22T00:00:00"/>
    <s v="F"/>
    <x v="1"/>
    <x v="4"/>
    <x v="0"/>
    <x v="8"/>
    <x v="5"/>
    <x v="11"/>
    <x v="2"/>
  </r>
  <r>
    <x v="2091"/>
    <x v="0"/>
    <x v="13"/>
    <n v="13.2"/>
    <x v="1113"/>
    <x v="76"/>
    <d v="2025-03-22T00:00:00"/>
    <s v="M"/>
    <x v="2"/>
    <x v="0"/>
    <x v="0"/>
    <x v="8"/>
    <x v="5"/>
    <x v="11"/>
    <x v="1"/>
  </r>
  <r>
    <x v="2092"/>
    <x v="6"/>
    <x v="2"/>
    <n v="52.3"/>
    <x v="1588"/>
    <x v="76"/>
    <d v="2025-03-19T00:00:00"/>
    <s v="M"/>
    <x v="1"/>
    <x v="0"/>
    <x v="0"/>
    <x v="8"/>
    <x v="3"/>
    <x v="11"/>
    <x v="1"/>
  </r>
  <r>
    <x v="2093"/>
    <x v="8"/>
    <x v="1"/>
    <n v="15.7"/>
    <x v="1323"/>
    <x v="76"/>
    <d v="2025-03-21T00:00:00"/>
    <s v="M"/>
    <x v="1"/>
    <x v="2"/>
    <x v="0"/>
    <x v="8"/>
    <x v="2"/>
    <x v="11"/>
    <x v="1"/>
  </r>
  <r>
    <x v="2094"/>
    <x v="7"/>
    <x v="2"/>
    <n v="35"/>
    <x v="211"/>
    <x v="76"/>
    <d v="2025-03-21T00:00:00"/>
    <s v="F"/>
    <x v="1"/>
    <x v="2"/>
    <x v="0"/>
    <x v="9"/>
    <x v="2"/>
    <x v="11"/>
    <x v="2"/>
  </r>
  <r>
    <x v="2095"/>
    <x v="4"/>
    <x v="2"/>
    <n v="26.6"/>
    <x v="1589"/>
    <x v="76"/>
    <d v="2025-03-18T00:00:00"/>
    <s v="M"/>
    <x v="1"/>
    <x v="2"/>
    <x v="0"/>
    <x v="11"/>
    <x v="7"/>
    <x v="11"/>
    <x v="1"/>
  </r>
  <r>
    <x v="2096"/>
    <x v="4"/>
    <x v="8"/>
    <n v="47.9"/>
    <x v="1590"/>
    <x v="77"/>
    <d v="2025-03-20T00:00:00"/>
    <s v="F"/>
    <x v="3"/>
    <x v="2"/>
    <x v="0"/>
    <x v="20"/>
    <x v="3"/>
    <x v="11"/>
    <x v="2"/>
  </r>
  <r>
    <x v="2097"/>
    <x v="5"/>
    <x v="0"/>
    <n v="80.099999999999994"/>
    <x v="1133"/>
    <x v="77"/>
    <d v="2025-03-20T00:00:00"/>
    <s v="M"/>
    <x v="2"/>
    <x v="0"/>
    <x v="0"/>
    <x v="21"/>
    <x v="3"/>
    <x v="11"/>
    <x v="1"/>
  </r>
  <r>
    <x v="2098"/>
    <x v="6"/>
    <x v="9"/>
    <n v="50.4"/>
    <x v="816"/>
    <x v="77"/>
    <d v="2025-03-20T00:00:00"/>
    <s v="M"/>
    <x v="1"/>
    <x v="2"/>
    <x v="0"/>
    <x v="21"/>
    <x v="3"/>
    <x v="11"/>
    <x v="1"/>
  </r>
  <r>
    <x v="2099"/>
    <x v="10"/>
    <x v="3"/>
    <n v="43.3"/>
    <x v="1591"/>
    <x v="77"/>
    <d v="2025-03-20T00:00:00"/>
    <s v="M"/>
    <x v="2"/>
    <x v="0"/>
    <x v="0"/>
    <x v="21"/>
    <x v="3"/>
    <x v="11"/>
    <x v="1"/>
  </r>
  <r>
    <x v="2100"/>
    <x v="10"/>
    <x v="12"/>
    <n v="57.5"/>
    <x v="984"/>
    <x v="77"/>
    <d v="2025-03-20T00:00:00"/>
    <s v="F"/>
    <x v="1"/>
    <x v="2"/>
    <x v="0"/>
    <x v="1"/>
    <x v="3"/>
    <x v="11"/>
    <x v="2"/>
  </r>
  <r>
    <x v="2101"/>
    <x v="9"/>
    <x v="15"/>
    <n v="24.8"/>
    <x v="1592"/>
    <x v="77"/>
    <d v="2025-03-20T00:00:00"/>
    <s v="M"/>
    <x v="0"/>
    <x v="0"/>
    <x v="0"/>
    <x v="57"/>
    <x v="3"/>
    <x v="11"/>
    <x v="1"/>
  </r>
  <r>
    <x v="2102"/>
    <x v="2"/>
    <x v="11"/>
    <n v="85.7"/>
    <x v="1593"/>
    <x v="77"/>
    <d v="2025-03-20T00:00:00"/>
    <s v="F"/>
    <x v="0"/>
    <x v="0"/>
    <x v="0"/>
    <x v="42"/>
    <x v="3"/>
    <x v="11"/>
    <x v="2"/>
  </r>
  <r>
    <x v="2103"/>
    <x v="7"/>
    <x v="0"/>
    <n v="47.1"/>
    <x v="392"/>
    <x v="77"/>
    <d v="2025-03-21T00:00:00"/>
    <s v="F"/>
    <x v="0"/>
    <x v="0"/>
    <x v="0"/>
    <x v="2"/>
    <x v="1"/>
    <x v="11"/>
    <x v="2"/>
  </r>
  <r>
    <x v="2104"/>
    <x v="5"/>
    <x v="7"/>
    <n v="83.2"/>
    <x v="1594"/>
    <x v="77"/>
    <d v="2025-03-23T00:00:00"/>
    <s v="F"/>
    <x v="0"/>
    <x v="0"/>
    <x v="0"/>
    <x v="33"/>
    <x v="5"/>
    <x v="11"/>
    <x v="2"/>
  </r>
  <r>
    <x v="2105"/>
    <x v="2"/>
    <x v="2"/>
    <n v="157"/>
    <x v="1595"/>
    <x v="77"/>
    <d v="2025-03-21T00:00:00"/>
    <s v="F"/>
    <x v="0"/>
    <x v="2"/>
    <x v="0"/>
    <x v="22"/>
    <x v="1"/>
    <x v="11"/>
    <x v="2"/>
  </r>
  <r>
    <x v="2106"/>
    <x v="16"/>
    <x v="12"/>
    <n v="33.700000000000003"/>
    <x v="1093"/>
    <x v="77"/>
    <d v="2025-03-20T00:00:00"/>
    <s v="M"/>
    <x v="2"/>
    <x v="2"/>
    <x v="0"/>
    <x v="22"/>
    <x v="3"/>
    <x v="11"/>
    <x v="1"/>
  </r>
  <r>
    <x v="2107"/>
    <x v="2"/>
    <x v="2"/>
    <n v="60.8"/>
    <x v="1596"/>
    <x v="77"/>
    <d v="2025-03-23T00:00:00"/>
    <s v="F"/>
    <x v="1"/>
    <x v="1"/>
    <x v="0"/>
    <x v="3"/>
    <x v="5"/>
    <x v="11"/>
    <x v="2"/>
  </r>
  <r>
    <x v="2108"/>
    <x v="7"/>
    <x v="0"/>
    <n v="57.6"/>
    <x v="636"/>
    <x v="77"/>
    <d v="2025-03-20T00:00:00"/>
    <s v="M"/>
    <x v="1"/>
    <x v="4"/>
    <x v="0"/>
    <x v="3"/>
    <x v="3"/>
    <x v="11"/>
    <x v="1"/>
  </r>
  <r>
    <x v="2109"/>
    <x v="10"/>
    <x v="0"/>
    <n v="32"/>
    <x v="109"/>
    <x v="77"/>
    <d v="2025-03-21T00:00:00"/>
    <s v="M"/>
    <x v="0"/>
    <x v="0"/>
    <x v="0"/>
    <x v="3"/>
    <x v="1"/>
    <x v="11"/>
    <x v="1"/>
  </r>
  <r>
    <x v="2110"/>
    <x v="10"/>
    <x v="12"/>
    <n v="23.5"/>
    <x v="255"/>
    <x v="77"/>
    <d v="2025-03-20T00:00:00"/>
    <s v="F"/>
    <x v="0"/>
    <x v="2"/>
    <x v="0"/>
    <x v="3"/>
    <x v="3"/>
    <x v="11"/>
    <x v="2"/>
  </r>
  <r>
    <x v="2111"/>
    <x v="12"/>
    <x v="2"/>
    <n v="44.8"/>
    <x v="1597"/>
    <x v="77"/>
    <d v="2025-03-20T00:00:00"/>
    <s v="O"/>
    <x v="4"/>
    <x v="0"/>
    <x v="0"/>
    <x v="3"/>
    <x v="3"/>
    <x v="11"/>
    <x v="3"/>
  </r>
  <r>
    <x v="2112"/>
    <x v="0"/>
    <x v="8"/>
    <n v="11.7"/>
    <x v="64"/>
    <x v="77"/>
    <d v="2025-03-20T00:00:00"/>
    <s v="M"/>
    <x v="2"/>
    <x v="2"/>
    <x v="0"/>
    <x v="3"/>
    <x v="3"/>
    <x v="11"/>
    <x v="1"/>
  </r>
  <r>
    <x v="2113"/>
    <x v="7"/>
    <x v="1"/>
    <n v="38.799999999999997"/>
    <x v="1598"/>
    <x v="77"/>
    <d v="2025-03-22T00:00:00"/>
    <s v="F"/>
    <x v="2"/>
    <x v="0"/>
    <x v="0"/>
    <x v="3"/>
    <x v="2"/>
    <x v="11"/>
    <x v="2"/>
  </r>
  <r>
    <x v="2114"/>
    <x v="5"/>
    <x v="21"/>
    <n v="86.9"/>
    <x v="1599"/>
    <x v="77"/>
    <d v="2025-03-24T00:00:00"/>
    <s v="F"/>
    <x v="1"/>
    <x v="0"/>
    <x v="0"/>
    <x v="3"/>
    <x v="0"/>
    <x v="11"/>
    <x v="2"/>
  </r>
  <r>
    <x v="2115"/>
    <x v="8"/>
    <x v="0"/>
    <n v="18.3"/>
    <x v="1600"/>
    <x v="77"/>
    <d v="2025-03-20T00:00:00"/>
    <s v="F"/>
    <x v="0"/>
    <x v="0"/>
    <x v="0"/>
    <x v="3"/>
    <x v="3"/>
    <x v="11"/>
    <x v="2"/>
  </r>
  <r>
    <x v="2116"/>
    <x v="5"/>
    <x v="0"/>
    <n v="47.5"/>
    <x v="1601"/>
    <x v="77"/>
    <d v="2025-03-23T00:00:00"/>
    <s v="M"/>
    <x v="4"/>
    <x v="2"/>
    <x v="0"/>
    <x v="3"/>
    <x v="5"/>
    <x v="11"/>
    <x v="1"/>
  </r>
  <r>
    <x v="2117"/>
    <x v="1"/>
    <x v="1"/>
    <n v="78.599999999999994"/>
    <x v="507"/>
    <x v="77"/>
    <d v="2025-03-20T00:00:00"/>
    <s v="M"/>
    <x v="2"/>
    <x v="2"/>
    <x v="0"/>
    <x v="3"/>
    <x v="3"/>
    <x v="11"/>
    <x v="1"/>
  </r>
  <r>
    <x v="2118"/>
    <x v="6"/>
    <x v="12"/>
    <n v="87.3"/>
    <x v="1602"/>
    <x v="77"/>
    <d v="2025-03-20T00:00:00"/>
    <s v="M"/>
    <x v="0"/>
    <x v="0"/>
    <x v="0"/>
    <x v="3"/>
    <x v="3"/>
    <x v="11"/>
    <x v="1"/>
  </r>
  <r>
    <x v="2119"/>
    <x v="9"/>
    <x v="1"/>
    <n v="63.2"/>
    <x v="628"/>
    <x v="77"/>
    <d v="2025-03-19T00:00:00"/>
    <s v="M"/>
    <x v="4"/>
    <x v="1"/>
    <x v="0"/>
    <x v="3"/>
    <x v="7"/>
    <x v="11"/>
    <x v="1"/>
  </r>
  <r>
    <x v="2120"/>
    <x v="5"/>
    <x v="9"/>
    <n v="33.700000000000003"/>
    <x v="1603"/>
    <x v="77"/>
    <d v="2025-03-20T00:00:00"/>
    <s v="F"/>
    <x v="0"/>
    <x v="0"/>
    <x v="0"/>
    <x v="3"/>
    <x v="3"/>
    <x v="11"/>
    <x v="2"/>
  </r>
  <r>
    <x v="2121"/>
    <x v="2"/>
    <x v="2"/>
    <n v="107.4"/>
    <x v="1604"/>
    <x v="77"/>
    <d v="2025-04-01T00:00:00"/>
    <s v="F"/>
    <x v="1"/>
    <x v="2"/>
    <x v="0"/>
    <x v="3"/>
    <x v="10"/>
    <x v="11"/>
    <x v="2"/>
  </r>
  <r>
    <x v="2122"/>
    <x v="4"/>
    <x v="12"/>
    <n v="22.2"/>
    <x v="1605"/>
    <x v="77"/>
    <d v="2025-03-20T00:00:00"/>
    <s v=""/>
    <x v="1"/>
    <x v="2"/>
    <x v="0"/>
    <x v="24"/>
    <x v="3"/>
    <x v="11"/>
    <x v="0"/>
  </r>
  <r>
    <x v="2123"/>
    <x v="18"/>
    <x v="2"/>
    <n v="52.8"/>
    <x v="1329"/>
    <x v="77"/>
    <d v="2025-03-20T00:00:00"/>
    <s v="M"/>
    <x v="3"/>
    <x v="2"/>
    <x v="0"/>
    <x v="24"/>
    <x v="3"/>
    <x v="11"/>
    <x v="1"/>
  </r>
  <r>
    <x v="2124"/>
    <x v="8"/>
    <x v="2"/>
    <n v="41.5"/>
    <x v="376"/>
    <x v="77"/>
    <d v="2025-03-22T00:00:00"/>
    <s v="F"/>
    <x v="0"/>
    <x v="0"/>
    <x v="0"/>
    <x v="25"/>
    <x v="2"/>
    <x v="11"/>
    <x v="2"/>
  </r>
  <r>
    <x v="2125"/>
    <x v="12"/>
    <x v="8"/>
    <n v="103.5"/>
    <x v="1606"/>
    <x v="77"/>
    <d v="2025-03-22T00:00:00"/>
    <s v="F"/>
    <x v="0"/>
    <x v="2"/>
    <x v="0"/>
    <x v="23"/>
    <x v="2"/>
    <x v="11"/>
    <x v="2"/>
  </r>
  <r>
    <x v="2126"/>
    <x v="4"/>
    <x v="21"/>
    <n v="37.5"/>
    <x v="1469"/>
    <x v="77"/>
    <d v="2025-03-19T00:00:00"/>
    <s v="F"/>
    <x v="1"/>
    <x v="2"/>
    <x v="0"/>
    <x v="6"/>
    <x v="7"/>
    <x v="11"/>
    <x v="2"/>
  </r>
  <r>
    <x v="2127"/>
    <x v="15"/>
    <x v="8"/>
    <n v="44.4"/>
    <x v="1607"/>
    <x v="77"/>
    <d v="2025-03-25T00:00:00"/>
    <s v="F"/>
    <x v="3"/>
    <x v="2"/>
    <x v="0"/>
    <x v="7"/>
    <x v="4"/>
    <x v="11"/>
    <x v="2"/>
  </r>
  <r>
    <x v="2128"/>
    <x v="8"/>
    <x v="2"/>
    <n v="26.2"/>
    <x v="1608"/>
    <x v="77"/>
    <d v="2025-03-20T00:00:00"/>
    <s v="M"/>
    <x v="0"/>
    <x v="0"/>
    <x v="0"/>
    <x v="8"/>
    <x v="3"/>
    <x v="11"/>
    <x v="1"/>
  </r>
  <r>
    <x v="2129"/>
    <x v="1"/>
    <x v="3"/>
    <n v="32.200000000000003"/>
    <x v="1009"/>
    <x v="77"/>
    <d v="2025-03-20T00:00:00"/>
    <s v="F"/>
    <x v="1"/>
    <x v="2"/>
    <x v="0"/>
    <x v="8"/>
    <x v="3"/>
    <x v="11"/>
    <x v="2"/>
  </r>
  <r>
    <x v="2130"/>
    <x v="8"/>
    <x v="0"/>
    <n v="17.399999999999999"/>
    <x v="1609"/>
    <x v="77"/>
    <d v="2025-03-23T00:00:00"/>
    <s v=""/>
    <x v="2"/>
    <x v="1"/>
    <x v="0"/>
    <x v="8"/>
    <x v="5"/>
    <x v="11"/>
    <x v="0"/>
  </r>
  <r>
    <x v="2131"/>
    <x v="8"/>
    <x v="13"/>
    <n v="72.3"/>
    <x v="1610"/>
    <x v="77"/>
    <d v="2025-03-22T00:00:00"/>
    <s v="F"/>
    <x v="0"/>
    <x v="0"/>
    <x v="0"/>
    <x v="8"/>
    <x v="2"/>
    <x v="11"/>
    <x v="2"/>
  </r>
  <r>
    <x v="2132"/>
    <x v="8"/>
    <x v="5"/>
    <n v="24.3"/>
    <x v="1611"/>
    <x v="77"/>
    <d v="2025-03-20T00:00:00"/>
    <s v="M"/>
    <x v="0"/>
    <x v="0"/>
    <x v="0"/>
    <x v="8"/>
    <x v="3"/>
    <x v="11"/>
    <x v="1"/>
  </r>
  <r>
    <x v="2133"/>
    <x v="13"/>
    <x v="2"/>
    <n v="49.1"/>
    <x v="824"/>
    <x v="77"/>
    <d v="2025-03-25T00:00:00"/>
    <s v="M"/>
    <x v="2"/>
    <x v="4"/>
    <x v="0"/>
    <x v="8"/>
    <x v="4"/>
    <x v="11"/>
    <x v="1"/>
  </r>
  <r>
    <x v="2134"/>
    <x v="2"/>
    <x v="7"/>
    <n v="234.7"/>
    <x v="1612"/>
    <x v="77"/>
    <d v="2025-03-20T00:00:00"/>
    <s v="M"/>
    <x v="3"/>
    <x v="1"/>
    <x v="0"/>
    <x v="8"/>
    <x v="3"/>
    <x v="11"/>
    <x v="1"/>
  </r>
  <r>
    <x v="2135"/>
    <x v="3"/>
    <x v="9"/>
    <n v="76.099999999999994"/>
    <x v="1613"/>
    <x v="77"/>
    <d v="2025-03-21T00:00:00"/>
    <s v="M"/>
    <x v="1"/>
    <x v="1"/>
    <x v="0"/>
    <x v="17"/>
    <x v="1"/>
    <x v="11"/>
    <x v="1"/>
  </r>
  <r>
    <x v="2136"/>
    <x v="1"/>
    <x v="2"/>
    <n v="93.9"/>
    <x v="1614"/>
    <x v="77"/>
    <d v="2025-03-20T00:00:00"/>
    <s v="M"/>
    <x v="1"/>
    <x v="4"/>
    <x v="0"/>
    <x v="11"/>
    <x v="3"/>
    <x v="11"/>
    <x v="1"/>
  </r>
  <r>
    <x v="2137"/>
    <x v="2"/>
    <x v="12"/>
    <n v="187"/>
    <x v="1615"/>
    <x v="78"/>
    <d v="2025-03-23T00:00:00"/>
    <s v="M"/>
    <x v="0"/>
    <x v="0"/>
    <x v="0"/>
    <x v="11"/>
    <x v="2"/>
    <x v="11"/>
    <x v="1"/>
  </r>
  <r>
    <x v="2138"/>
    <x v="8"/>
    <x v="1"/>
    <n v="18"/>
    <x v="53"/>
    <x v="78"/>
    <d v="2025-03-21T00:00:00"/>
    <s v="F"/>
    <x v="1"/>
    <x v="2"/>
    <x v="0"/>
    <x v="53"/>
    <x v="3"/>
    <x v="11"/>
    <x v="2"/>
  </r>
  <r>
    <x v="2139"/>
    <x v="4"/>
    <x v="0"/>
    <n v="24.4"/>
    <x v="1616"/>
    <x v="78"/>
    <d v="2025-03-21T00:00:00"/>
    <s v="F"/>
    <x v="4"/>
    <x v="2"/>
    <x v="0"/>
    <x v="21"/>
    <x v="3"/>
    <x v="11"/>
    <x v="2"/>
  </r>
  <r>
    <x v="2140"/>
    <x v="10"/>
    <x v="1"/>
    <n v="38.799999999999997"/>
    <x v="1598"/>
    <x v="78"/>
    <d v="2025-03-21T00:00:00"/>
    <s v="M"/>
    <x v="4"/>
    <x v="1"/>
    <x v="0"/>
    <x v="3"/>
    <x v="3"/>
    <x v="11"/>
    <x v="1"/>
  </r>
  <r>
    <x v="2141"/>
    <x v="3"/>
    <x v="0"/>
    <n v="59.7"/>
    <x v="1201"/>
    <x v="78"/>
    <d v="2025-03-23T00:00:00"/>
    <s v="M"/>
    <x v="3"/>
    <x v="0"/>
    <x v="0"/>
    <x v="3"/>
    <x v="2"/>
    <x v="11"/>
    <x v="1"/>
  </r>
  <r>
    <x v="2142"/>
    <x v="7"/>
    <x v="0"/>
    <n v="31.2"/>
    <x v="406"/>
    <x v="78"/>
    <d v="2025-03-21T00:00:00"/>
    <s v="M"/>
    <x v="1"/>
    <x v="2"/>
    <x v="0"/>
    <x v="3"/>
    <x v="3"/>
    <x v="11"/>
    <x v="1"/>
  </r>
  <r>
    <x v="2143"/>
    <x v="0"/>
    <x v="0"/>
    <n v="16.8"/>
    <x v="749"/>
    <x v="78"/>
    <d v="2025-03-21T00:00:00"/>
    <s v="F"/>
    <x v="2"/>
    <x v="1"/>
    <x v="0"/>
    <x v="3"/>
    <x v="3"/>
    <x v="11"/>
    <x v="2"/>
  </r>
  <r>
    <x v="2144"/>
    <x v="8"/>
    <x v="0"/>
    <n v="46"/>
    <x v="716"/>
    <x v="78"/>
    <d v="2025-03-21T00:00:00"/>
    <s v="M"/>
    <x v="0"/>
    <x v="0"/>
    <x v="0"/>
    <x v="3"/>
    <x v="3"/>
    <x v="11"/>
    <x v="1"/>
  </r>
  <r>
    <x v="2145"/>
    <x v="9"/>
    <x v="8"/>
    <n v="42.2"/>
    <x v="1617"/>
    <x v="78"/>
    <d v="2025-03-23T00:00:00"/>
    <s v="F"/>
    <x v="3"/>
    <x v="2"/>
    <x v="0"/>
    <x v="3"/>
    <x v="2"/>
    <x v="11"/>
    <x v="2"/>
  </r>
  <r>
    <x v="2146"/>
    <x v="1"/>
    <x v="2"/>
    <n v="71.5"/>
    <x v="523"/>
    <x v="78"/>
    <d v="2025-04-03T00:00:00"/>
    <s v="F"/>
    <x v="0"/>
    <x v="0"/>
    <x v="0"/>
    <x v="3"/>
    <x v="12"/>
    <x v="11"/>
    <x v="2"/>
  </r>
  <r>
    <x v="2147"/>
    <x v="1"/>
    <x v="1"/>
    <n v="76.599999999999994"/>
    <x v="1618"/>
    <x v="78"/>
    <d v="2025-03-20T00:00:00"/>
    <s v="M"/>
    <x v="0"/>
    <x v="2"/>
    <x v="0"/>
    <x v="3"/>
    <x v="7"/>
    <x v="11"/>
    <x v="1"/>
  </r>
  <r>
    <x v="2148"/>
    <x v="12"/>
    <x v="1"/>
    <n v="87.3"/>
    <x v="1619"/>
    <x v="78"/>
    <d v="2025-03-28T00:00:00"/>
    <s v="F"/>
    <x v="3"/>
    <x v="2"/>
    <x v="0"/>
    <x v="3"/>
    <x v="9"/>
    <x v="11"/>
    <x v="2"/>
  </r>
  <r>
    <x v="2149"/>
    <x v="1"/>
    <x v="0"/>
    <n v="63"/>
    <x v="1620"/>
    <x v="78"/>
    <d v="2025-03-23T00:00:00"/>
    <s v="M"/>
    <x v="3"/>
    <x v="0"/>
    <x v="0"/>
    <x v="3"/>
    <x v="2"/>
    <x v="11"/>
    <x v="1"/>
  </r>
  <r>
    <x v="2150"/>
    <x v="8"/>
    <x v="1"/>
    <n v="41.7"/>
    <x v="925"/>
    <x v="78"/>
    <d v="2025-03-21T00:00:00"/>
    <s v="F"/>
    <x v="4"/>
    <x v="1"/>
    <x v="0"/>
    <x v="43"/>
    <x v="3"/>
    <x v="11"/>
    <x v="2"/>
  </r>
  <r>
    <x v="2151"/>
    <x v="6"/>
    <x v="1"/>
    <n v="76.099999999999994"/>
    <x v="1621"/>
    <x v="78"/>
    <d v="2025-03-20T00:00:00"/>
    <s v="F"/>
    <x v="4"/>
    <x v="2"/>
    <x v="0"/>
    <x v="16"/>
    <x v="7"/>
    <x v="11"/>
    <x v="2"/>
  </r>
  <r>
    <x v="2152"/>
    <x v="13"/>
    <x v="1"/>
    <n v="28.5"/>
    <x v="933"/>
    <x v="78"/>
    <d v="2025-03-21T00:00:00"/>
    <s v="F"/>
    <x v="0"/>
    <x v="2"/>
    <x v="0"/>
    <x v="4"/>
    <x v="3"/>
    <x v="11"/>
    <x v="2"/>
  </r>
  <r>
    <x v="2153"/>
    <x v="0"/>
    <x v="12"/>
    <n v="32.1"/>
    <x v="58"/>
    <x v="78"/>
    <d v="2025-03-21T00:00:00"/>
    <s v="F"/>
    <x v="1"/>
    <x v="2"/>
    <x v="0"/>
    <x v="25"/>
    <x v="3"/>
    <x v="11"/>
    <x v="2"/>
  </r>
  <r>
    <x v="2154"/>
    <x v="4"/>
    <x v="2"/>
    <n v="39"/>
    <x v="1622"/>
    <x v="78"/>
    <d v="2025-03-23T00:00:00"/>
    <s v="M"/>
    <x v="1"/>
    <x v="2"/>
    <x v="0"/>
    <x v="25"/>
    <x v="2"/>
    <x v="11"/>
    <x v="1"/>
  </r>
  <r>
    <x v="2155"/>
    <x v="6"/>
    <x v="0"/>
    <n v="78.5"/>
    <x v="1623"/>
    <x v="78"/>
    <d v="2025-03-21T00:00:00"/>
    <s v="M"/>
    <x v="1"/>
    <x v="0"/>
    <x v="0"/>
    <x v="6"/>
    <x v="3"/>
    <x v="11"/>
    <x v="1"/>
  </r>
  <r>
    <x v="2156"/>
    <x v="4"/>
    <x v="9"/>
    <n v="49.7"/>
    <x v="1624"/>
    <x v="78"/>
    <d v="2025-03-22T00:00:00"/>
    <s v="F"/>
    <x v="0"/>
    <x v="0"/>
    <x v="0"/>
    <x v="6"/>
    <x v="1"/>
    <x v="11"/>
    <x v="2"/>
  </r>
  <r>
    <x v="2157"/>
    <x v="1"/>
    <x v="12"/>
    <n v="68.400000000000006"/>
    <x v="1625"/>
    <x v="78"/>
    <d v="2025-03-21T00:00:00"/>
    <s v="F"/>
    <x v="2"/>
    <x v="2"/>
    <x v="0"/>
    <x v="7"/>
    <x v="3"/>
    <x v="11"/>
    <x v="2"/>
  </r>
  <r>
    <x v="2158"/>
    <x v="3"/>
    <x v="1"/>
    <n v="72.900000000000006"/>
    <x v="1626"/>
    <x v="78"/>
    <d v="2025-03-23T00:00:00"/>
    <s v=""/>
    <x v="0"/>
    <x v="2"/>
    <x v="0"/>
    <x v="7"/>
    <x v="2"/>
    <x v="11"/>
    <x v="0"/>
  </r>
  <r>
    <x v="2159"/>
    <x v="5"/>
    <x v="15"/>
    <n v="30.3"/>
    <x v="1627"/>
    <x v="78"/>
    <d v="2025-03-21T00:00:00"/>
    <s v="M"/>
    <x v="4"/>
    <x v="0"/>
    <x v="0"/>
    <x v="7"/>
    <x v="3"/>
    <x v="11"/>
    <x v="1"/>
  </r>
  <r>
    <x v="2160"/>
    <x v="6"/>
    <x v="5"/>
    <n v="57.9"/>
    <x v="1628"/>
    <x v="78"/>
    <d v="2025-03-21T00:00:00"/>
    <s v="F"/>
    <x v="0"/>
    <x v="0"/>
    <x v="0"/>
    <x v="8"/>
    <x v="3"/>
    <x v="11"/>
    <x v="2"/>
  </r>
  <r>
    <x v="2161"/>
    <x v="1"/>
    <x v="0"/>
    <n v="96.7"/>
    <x v="1629"/>
    <x v="78"/>
    <d v="2025-03-21T00:00:00"/>
    <s v="M"/>
    <x v="0"/>
    <x v="0"/>
    <x v="0"/>
    <x v="8"/>
    <x v="3"/>
    <x v="11"/>
    <x v="1"/>
  </r>
  <r>
    <x v="2162"/>
    <x v="8"/>
    <x v="4"/>
    <n v="27.6"/>
    <x v="1630"/>
    <x v="78"/>
    <d v="2025-03-22T00:00:00"/>
    <s v="M"/>
    <x v="2"/>
    <x v="2"/>
    <x v="0"/>
    <x v="8"/>
    <x v="1"/>
    <x v="11"/>
    <x v="1"/>
  </r>
  <r>
    <x v="2163"/>
    <x v="6"/>
    <x v="12"/>
    <n v="64.7"/>
    <x v="536"/>
    <x v="78"/>
    <d v="2025-03-20T00:00:00"/>
    <s v="M"/>
    <x v="3"/>
    <x v="2"/>
    <x v="0"/>
    <x v="8"/>
    <x v="7"/>
    <x v="11"/>
    <x v="1"/>
  </r>
  <r>
    <x v="2164"/>
    <x v="10"/>
    <x v="13"/>
    <n v="30.5"/>
    <x v="1143"/>
    <x v="78"/>
    <d v="2025-03-21T00:00:00"/>
    <s v="M"/>
    <x v="4"/>
    <x v="0"/>
    <x v="0"/>
    <x v="8"/>
    <x v="3"/>
    <x v="11"/>
    <x v="1"/>
  </r>
  <r>
    <x v="2165"/>
    <x v="6"/>
    <x v="47"/>
    <n v="106"/>
    <x v="1631"/>
    <x v="79"/>
    <d v="2025-03-23T00:00:00"/>
    <s v="M"/>
    <x v="4"/>
    <x v="2"/>
    <x v="0"/>
    <x v="8"/>
    <x v="1"/>
    <x v="11"/>
    <x v="1"/>
  </r>
  <r>
    <x v="2166"/>
    <x v="12"/>
    <x v="9"/>
    <n v="76.8"/>
    <x v="1632"/>
    <x v="79"/>
    <d v="2025-03-27T00:00:00"/>
    <s v=""/>
    <x v="1"/>
    <x v="1"/>
    <x v="0"/>
    <x v="18"/>
    <x v="4"/>
    <x v="11"/>
    <x v="0"/>
  </r>
  <r>
    <x v="2167"/>
    <x v="6"/>
    <x v="1"/>
    <n v="80.400000000000006"/>
    <x v="1530"/>
    <x v="79"/>
    <d v="2025-03-22T00:00:00"/>
    <s v="F"/>
    <x v="2"/>
    <x v="0"/>
    <x v="0"/>
    <x v="13"/>
    <x v="3"/>
    <x v="11"/>
    <x v="2"/>
  </r>
  <r>
    <x v="2168"/>
    <x v="6"/>
    <x v="12"/>
    <n v="69.099999999999994"/>
    <x v="1633"/>
    <x v="79"/>
    <d v="2025-03-22T00:00:00"/>
    <s v="M"/>
    <x v="1"/>
    <x v="2"/>
    <x v="0"/>
    <x v="21"/>
    <x v="3"/>
    <x v="11"/>
    <x v="1"/>
  </r>
  <r>
    <x v="2169"/>
    <x v="18"/>
    <x v="1"/>
    <n v="76.400000000000006"/>
    <x v="1634"/>
    <x v="79"/>
    <d v="2025-03-21T00:00:00"/>
    <s v="M"/>
    <x v="3"/>
    <x v="0"/>
    <x v="0"/>
    <x v="21"/>
    <x v="7"/>
    <x v="11"/>
    <x v="1"/>
  </r>
  <r>
    <x v="2170"/>
    <x v="2"/>
    <x v="1"/>
    <n v="61.3"/>
    <x v="384"/>
    <x v="79"/>
    <d v="2025-03-22T00:00:00"/>
    <s v="F"/>
    <x v="1"/>
    <x v="1"/>
    <x v="0"/>
    <x v="21"/>
    <x v="3"/>
    <x v="11"/>
    <x v="2"/>
  </r>
  <r>
    <x v="2171"/>
    <x v="7"/>
    <x v="0"/>
    <n v="58"/>
    <x v="1635"/>
    <x v="79"/>
    <d v="2025-03-22T00:00:00"/>
    <s v="M"/>
    <x v="3"/>
    <x v="1"/>
    <x v="0"/>
    <x v="1"/>
    <x v="3"/>
    <x v="11"/>
    <x v="1"/>
  </r>
  <r>
    <x v="2172"/>
    <x v="2"/>
    <x v="8"/>
    <n v="102.3"/>
    <x v="1636"/>
    <x v="79"/>
    <d v="2025-03-23T00:00:00"/>
    <s v="M"/>
    <x v="2"/>
    <x v="0"/>
    <x v="0"/>
    <x v="42"/>
    <x v="1"/>
    <x v="11"/>
    <x v="1"/>
  </r>
  <r>
    <x v="2173"/>
    <x v="19"/>
    <x v="1"/>
    <n v="13.8"/>
    <x v="1637"/>
    <x v="79"/>
    <d v="2025-03-22T00:00:00"/>
    <s v="F"/>
    <x v="4"/>
    <x v="2"/>
    <x v="0"/>
    <x v="2"/>
    <x v="3"/>
    <x v="11"/>
    <x v="2"/>
  </r>
  <r>
    <x v="2174"/>
    <x v="8"/>
    <x v="2"/>
    <n v="33.299999999999997"/>
    <x v="1638"/>
    <x v="79"/>
    <d v="2025-03-24T00:00:00"/>
    <s v="F"/>
    <x v="2"/>
    <x v="0"/>
    <x v="0"/>
    <x v="22"/>
    <x v="2"/>
    <x v="11"/>
    <x v="2"/>
  </r>
  <r>
    <x v="2175"/>
    <x v="10"/>
    <x v="0"/>
    <n v="27.4"/>
    <x v="1639"/>
    <x v="79"/>
    <d v="2025-03-24T00:00:00"/>
    <s v="M"/>
    <x v="0"/>
    <x v="2"/>
    <x v="0"/>
    <x v="22"/>
    <x v="2"/>
    <x v="11"/>
    <x v="1"/>
  </r>
  <r>
    <x v="2176"/>
    <x v="14"/>
    <x v="1"/>
    <n v="25.6"/>
    <x v="180"/>
    <x v="79"/>
    <d v="2025-03-22T00:00:00"/>
    <s v="F"/>
    <x v="1"/>
    <x v="1"/>
    <x v="0"/>
    <x v="3"/>
    <x v="3"/>
    <x v="11"/>
    <x v="2"/>
  </r>
  <r>
    <x v="2177"/>
    <x v="13"/>
    <x v="0"/>
    <n v="58.4"/>
    <x v="305"/>
    <x v="79"/>
    <d v="2025-03-22T00:00:00"/>
    <s v="F"/>
    <x v="2"/>
    <x v="2"/>
    <x v="0"/>
    <x v="3"/>
    <x v="3"/>
    <x v="11"/>
    <x v="2"/>
  </r>
  <r>
    <x v="2178"/>
    <x v="11"/>
    <x v="17"/>
    <n v="27"/>
    <x v="906"/>
    <x v="79"/>
    <d v="2025-03-22T00:00:00"/>
    <s v="F"/>
    <x v="4"/>
    <x v="0"/>
    <x v="0"/>
    <x v="3"/>
    <x v="3"/>
    <x v="11"/>
    <x v="2"/>
  </r>
  <r>
    <x v="2179"/>
    <x v="0"/>
    <x v="12"/>
    <n v="14.2"/>
    <x v="1640"/>
    <x v="79"/>
    <d v="2025-03-22T00:00:00"/>
    <s v="M"/>
    <x v="0"/>
    <x v="2"/>
    <x v="0"/>
    <x v="3"/>
    <x v="3"/>
    <x v="11"/>
    <x v="1"/>
  </r>
  <r>
    <x v="2180"/>
    <x v="7"/>
    <x v="1"/>
    <n v="68"/>
    <x v="1641"/>
    <x v="79"/>
    <d v="2025-03-31T00:00:00"/>
    <s v="M"/>
    <x v="2"/>
    <x v="1"/>
    <x v="0"/>
    <x v="3"/>
    <x v="14"/>
    <x v="11"/>
    <x v="1"/>
  </r>
  <r>
    <x v="2181"/>
    <x v="8"/>
    <x v="0"/>
    <n v="30.7"/>
    <x v="1642"/>
    <x v="79"/>
    <d v="2025-03-22T00:00:00"/>
    <s v="M"/>
    <x v="0"/>
    <x v="0"/>
    <x v="0"/>
    <x v="3"/>
    <x v="3"/>
    <x v="11"/>
    <x v="1"/>
  </r>
  <r>
    <x v="2182"/>
    <x v="17"/>
    <x v="15"/>
    <n v="51.6"/>
    <x v="1643"/>
    <x v="79"/>
    <d v="2025-03-24T00:00:00"/>
    <s v="O"/>
    <x v="1"/>
    <x v="2"/>
    <x v="0"/>
    <x v="3"/>
    <x v="2"/>
    <x v="11"/>
    <x v="3"/>
  </r>
  <r>
    <x v="2183"/>
    <x v="8"/>
    <x v="2"/>
    <n v="20.6"/>
    <x v="957"/>
    <x v="79"/>
    <d v="2025-03-25T00:00:00"/>
    <s v="F"/>
    <x v="4"/>
    <x v="2"/>
    <x v="0"/>
    <x v="3"/>
    <x v="5"/>
    <x v="11"/>
    <x v="2"/>
  </r>
  <r>
    <x v="2184"/>
    <x v="8"/>
    <x v="0"/>
    <n v="24.8"/>
    <x v="1644"/>
    <x v="79"/>
    <d v="2025-03-22T00:00:00"/>
    <s v="M"/>
    <x v="4"/>
    <x v="0"/>
    <x v="0"/>
    <x v="3"/>
    <x v="3"/>
    <x v="11"/>
    <x v="1"/>
  </r>
  <r>
    <x v="2185"/>
    <x v="0"/>
    <x v="3"/>
    <n v="11.2"/>
    <x v="1645"/>
    <x v="79"/>
    <d v="2025-03-24T00:00:00"/>
    <s v="M"/>
    <x v="1"/>
    <x v="0"/>
    <x v="0"/>
    <x v="3"/>
    <x v="2"/>
    <x v="11"/>
    <x v="1"/>
  </r>
  <r>
    <x v="2186"/>
    <x v="11"/>
    <x v="1"/>
    <n v="51.2"/>
    <x v="298"/>
    <x v="79"/>
    <d v="2025-03-22T00:00:00"/>
    <s v="F"/>
    <x v="1"/>
    <x v="2"/>
    <x v="0"/>
    <x v="3"/>
    <x v="3"/>
    <x v="11"/>
    <x v="2"/>
  </r>
  <r>
    <x v="2187"/>
    <x v="7"/>
    <x v="13"/>
    <n v="90.5"/>
    <x v="1646"/>
    <x v="79"/>
    <d v="2025-03-22T00:00:00"/>
    <s v="F"/>
    <x v="1"/>
    <x v="4"/>
    <x v="0"/>
    <x v="3"/>
    <x v="3"/>
    <x v="11"/>
    <x v="2"/>
  </r>
  <r>
    <x v="2188"/>
    <x v="1"/>
    <x v="1"/>
    <n v="42.4"/>
    <x v="1647"/>
    <x v="79"/>
    <d v="2025-03-22T00:00:00"/>
    <s v="M"/>
    <x v="1"/>
    <x v="2"/>
    <x v="0"/>
    <x v="4"/>
    <x v="3"/>
    <x v="11"/>
    <x v="1"/>
  </r>
  <r>
    <x v="2189"/>
    <x v="1"/>
    <x v="1"/>
    <n v="38.200000000000003"/>
    <x v="1648"/>
    <x v="79"/>
    <d v="2025-03-22T00:00:00"/>
    <s v="M"/>
    <x v="0"/>
    <x v="0"/>
    <x v="0"/>
    <x v="5"/>
    <x v="3"/>
    <x v="11"/>
    <x v="1"/>
  </r>
  <r>
    <x v="2190"/>
    <x v="2"/>
    <x v="11"/>
    <n v="121.3"/>
    <x v="1649"/>
    <x v="79"/>
    <d v="2025-03-26T00:00:00"/>
    <s v="M"/>
    <x v="0"/>
    <x v="0"/>
    <x v="0"/>
    <x v="6"/>
    <x v="0"/>
    <x v="11"/>
    <x v="1"/>
  </r>
  <r>
    <x v="2191"/>
    <x v="6"/>
    <x v="1"/>
    <n v="46.9"/>
    <x v="1650"/>
    <x v="79"/>
    <d v="2025-03-28T00:00:00"/>
    <s v="M"/>
    <x v="0"/>
    <x v="0"/>
    <x v="0"/>
    <x v="8"/>
    <x v="6"/>
    <x v="11"/>
    <x v="1"/>
  </r>
  <r>
    <x v="2192"/>
    <x v="10"/>
    <x v="0"/>
    <n v="55.3"/>
    <x v="6"/>
    <x v="79"/>
    <d v="2025-03-23T00:00:00"/>
    <s v="M"/>
    <x v="0"/>
    <x v="0"/>
    <x v="0"/>
    <x v="8"/>
    <x v="1"/>
    <x v="11"/>
    <x v="1"/>
  </r>
  <r>
    <x v="2193"/>
    <x v="2"/>
    <x v="2"/>
    <n v="70.599999999999994"/>
    <x v="1651"/>
    <x v="80"/>
    <d v="2025-03-22T00:00:00"/>
    <s v="F"/>
    <x v="0"/>
    <x v="1"/>
    <x v="0"/>
    <x v="8"/>
    <x v="7"/>
    <x v="11"/>
    <x v="2"/>
  </r>
  <r>
    <x v="2194"/>
    <x v="14"/>
    <x v="12"/>
    <n v="26.1"/>
    <x v="1652"/>
    <x v="80"/>
    <d v="2025-03-24T00:00:00"/>
    <s v="M"/>
    <x v="0"/>
    <x v="0"/>
    <x v="0"/>
    <x v="8"/>
    <x v="1"/>
    <x v="11"/>
    <x v="1"/>
  </r>
  <r>
    <x v="2195"/>
    <x v="9"/>
    <x v="5"/>
    <n v="34.5"/>
    <x v="1653"/>
    <x v="80"/>
    <d v="2025-03-26T00:00:00"/>
    <s v="M"/>
    <x v="2"/>
    <x v="0"/>
    <x v="0"/>
    <x v="17"/>
    <x v="5"/>
    <x v="11"/>
    <x v="1"/>
  </r>
  <r>
    <x v="2196"/>
    <x v="1"/>
    <x v="1"/>
    <n v="64.2"/>
    <x v="58"/>
    <x v="80"/>
    <d v="2025-03-23T00:00:00"/>
    <s v="F"/>
    <x v="0"/>
    <x v="1"/>
    <x v="0"/>
    <x v="17"/>
    <x v="3"/>
    <x v="11"/>
    <x v="2"/>
  </r>
  <r>
    <x v="2197"/>
    <x v="2"/>
    <x v="12"/>
    <n v="145.69999999999999"/>
    <x v="1654"/>
    <x v="80"/>
    <d v="2025-03-23T00:00:00"/>
    <s v="F"/>
    <x v="0"/>
    <x v="4"/>
    <x v="0"/>
    <x v="17"/>
    <x v="3"/>
    <x v="11"/>
    <x v="2"/>
  </r>
  <r>
    <x v="2198"/>
    <x v="12"/>
    <x v="1"/>
    <n v="78.5"/>
    <x v="1655"/>
    <x v="80"/>
    <d v="2025-03-23T00:00:00"/>
    <s v="M"/>
    <x v="2"/>
    <x v="0"/>
    <x v="0"/>
    <x v="26"/>
    <x v="3"/>
    <x v="11"/>
    <x v="1"/>
  </r>
  <r>
    <x v="2199"/>
    <x v="1"/>
    <x v="0"/>
    <n v="34.200000000000003"/>
    <x v="1656"/>
    <x v="80"/>
    <d v="2025-03-24T00:00:00"/>
    <s v="M"/>
    <x v="0"/>
    <x v="0"/>
    <x v="0"/>
    <x v="9"/>
    <x v="1"/>
    <x v="11"/>
    <x v="1"/>
  </r>
  <r>
    <x v="2200"/>
    <x v="19"/>
    <x v="0"/>
    <n v="26.2"/>
    <x v="1102"/>
    <x v="80"/>
    <d v="2025-03-23T00:00:00"/>
    <s v="M"/>
    <x v="2"/>
    <x v="0"/>
    <x v="0"/>
    <x v="9"/>
    <x v="3"/>
    <x v="11"/>
    <x v="1"/>
  </r>
  <r>
    <x v="2201"/>
    <x v="6"/>
    <x v="12"/>
    <n v="53.2"/>
    <x v="1547"/>
    <x v="80"/>
    <d v="2025-03-23T00:00:00"/>
    <s v="M"/>
    <x v="1"/>
    <x v="1"/>
    <x v="0"/>
    <x v="11"/>
    <x v="3"/>
    <x v="11"/>
    <x v="1"/>
  </r>
  <r>
    <x v="2202"/>
    <x v="1"/>
    <x v="0"/>
    <n v="35.4"/>
    <x v="1657"/>
    <x v="80"/>
    <d v="2025-03-26T00:00:00"/>
    <s v="M"/>
    <x v="1"/>
    <x v="4"/>
    <x v="0"/>
    <x v="18"/>
    <x v="5"/>
    <x v="11"/>
    <x v="1"/>
  </r>
  <r>
    <x v="2203"/>
    <x v="14"/>
    <x v="1"/>
    <n v="21.3"/>
    <x v="440"/>
    <x v="80"/>
    <d v="2025-03-23T00:00:00"/>
    <s v="M"/>
    <x v="2"/>
    <x v="0"/>
    <x v="0"/>
    <x v="20"/>
    <x v="3"/>
    <x v="11"/>
    <x v="1"/>
  </r>
  <r>
    <x v="2204"/>
    <x v="8"/>
    <x v="12"/>
    <n v="32.9"/>
    <x v="1423"/>
    <x v="80"/>
    <d v="2025-03-25T00:00:00"/>
    <s v="F"/>
    <x v="4"/>
    <x v="2"/>
    <x v="0"/>
    <x v="21"/>
    <x v="2"/>
    <x v="11"/>
    <x v="2"/>
  </r>
  <r>
    <x v="2205"/>
    <x v="5"/>
    <x v="20"/>
    <n v="85.5"/>
    <x v="1658"/>
    <x v="80"/>
    <d v="2025-03-24T00:00:00"/>
    <s v="F"/>
    <x v="3"/>
    <x v="1"/>
    <x v="0"/>
    <x v="21"/>
    <x v="1"/>
    <x v="11"/>
    <x v="2"/>
  </r>
  <r>
    <x v="2206"/>
    <x v="4"/>
    <x v="0"/>
    <n v="26.8"/>
    <x v="63"/>
    <x v="80"/>
    <d v="2025-03-23T00:00:00"/>
    <s v="F"/>
    <x v="0"/>
    <x v="1"/>
    <x v="0"/>
    <x v="2"/>
    <x v="3"/>
    <x v="11"/>
    <x v="2"/>
  </r>
  <r>
    <x v="2207"/>
    <x v="9"/>
    <x v="18"/>
    <n v="31.7"/>
    <x v="1659"/>
    <x v="80"/>
    <d v="2025-03-22T00:00:00"/>
    <s v="F"/>
    <x v="3"/>
    <x v="0"/>
    <x v="0"/>
    <x v="2"/>
    <x v="7"/>
    <x v="11"/>
    <x v="2"/>
  </r>
  <r>
    <x v="2208"/>
    <x v="1"/>
    <x v="1"/>
    <n v="78.3"/>
    <x v="1660"/>
    <x v="80"/>
    <d v="2025-03-24T00:00:00"/>
    <s v="F"/>
    <x v="1"/>
    <x v="1"/>
    <x v="0"/>
    <x v="3"/>
    <x v="1"/>
    <x v="11"/>
    <x v="2"/>
  </r>
  <r>
    <x v="2209"/>
    <x v="6"/>
    <x v="0"/>
    <n v="43.9"/>
    <x v="1661"/>
    <x v="80"/>
    <d v="2025-03-23T00:00:00"/>
    <s v="M"/>
    <x v="0"/>
    <x v="0"/>
    <x v="0"/>
    <x v="3"/>
    <x v="3"/>
    <x v="11"/>
    <x v="1"/>
  </r>
  <r>
    <x v="2210"/>
    <x v="18"/>
    <x v="2"/>
    <n v="84"/>
    <x v="816"/>
    <x v="80"/>
    <d v="2025-03-24T00:00:00"/>
    <s v=""/>
    <x v="3"/>
    <x v="2"/>
    <x v="0"/>
    <x v="3"/>
    <x v="1"/>
    <x v="11"/>
    <x v="0"/>
  </r>
  <r>
    <x v="2211"/>
    <x v="0"/>
    <x v="2"/>
    <n v="11.4"/>
    <x v="1656"/>
    <x v="80"/>
    <d v="2025-03-23T00:00:00"/>
    <s v="M"/>
    <x v="4"/>
    <x v="0"/>
    <x v="0"/>
    <x v="3"/>
    <x v="3"/>
    <x v="11"/>
    <x v="1"/>
  </r>
  <r>
    <x v="2212"/>
    <x v="12"/>
    <x v="8"/>
    <n v="47.5"/>
    <x v="1662"/>
    <x v="80"/>
    <d v="2025-03-30T00:00:00"/>
    <s v="F"/>
    <x v="0"/>
    <x v="0"/>
    <x v="0"/>
    <x v="3"/>
    <x v="9"/>
    <x v="11"/>
    <x v="2"/>
  </r>
  <r>
    <x v="2213"/>
    <x v="9"/>
    <x v="5"/>
    <n v="50.5"/>
    <x v="1663"/>
    <x v="80"/>
    <d v="2025-03-24T00:00:00"/>
    <s v="M"/>
    <x v="2"/>
    <x v="0"/>
    <x v="0"/>
    <x v="3"/>
    <x v="1"/>
    <x v="11"/>
    <x v="1"/>
  </r>
  <r>
    <x v="2214"/>
    <x v="15"/>
    <x v="0"/>
    <n v="36.299999999999997"/>
    <x v="1277"/>
    <x v="80"/>
    <d v="2025-03-25T00:00:00"/>
    <s v="O"/>
    <x v="0"/>
    <x v="1"/>
    <x v="0"/>
    <x v="8"/>
    <x v="2"/>
    <x v="11"/>
    <x v="3"/>
  </r>
  <r>
    <x v="2215"/>
    <x v="8"/>
    <x v="1"/>
    <n v="35.4"/>
    <x v="1664"/>
    <x v="80"/>
    <d v="2025-03-23T00:00:00"/>
    <s v="F"/>
    <x v="0"/>
    <x v="0"/>
    <x v="0"/>
    <x v="17"/>
    <x v="3"/>
    <x v="11"/>
    <x v="2"/>
  </r>
  <r>
    <x v="2216"/>
    <x v="1"/>
    <x v="2"/>
    <n v="45.9"/>
    <x v="223"/>
    <x v="81"/>
    <d v="2025-03-24T00:00:00"/>
    <s v="M"/>
    <x v="3"/>
    <x v="0"/>
    <x v="0"/>
    <x v="9"/>
    <x v="3"/>
    <x v="12"/>
    <x v="1"/>
  </r>
  <r>
    <x v="2217"/>
    <x v="6"/>
    <x v="7"/>
    <n v="41.2"/>
    <x v="1665"/>
    <x v="81"/>
    <d v="2025-03-27T00:00:00"/>
    <s v="M"/>
    <x v="0"/>
    <x v="0"/>
    <x v="0"/>
    <x v="11"/>
    <x v="5"/>
    <x v="12"/>
    <x v="1"/>
  </r>
  <r>
    <x v="2218"/>
    <x v="17"/>
    <x v="1"/>
    <n v="45.1"/>
    <x v="244"/>
    <x v="81"/>
    <d v="2025-03-24T00:00:00"/>
    <s v="M"/>
    <x v="1"/>
    <x v="1"/>
    <x v="0"/>
    <x v="21"/>
    <x v="3"/>
    <x v="12"/>
    <x v="1"/>
  </r>
  <r>
    <x v="2219"/>
    <x v="6"/>
    <x v="7"/>
    <n v="63.6"/>
    <x v="1666"/>
    <x v="81"/>
    <d v="2025-03-23T00:00:00"/>
    <s v="M"/>
    <x v="2"/>
    <x v="0"/>
    <x v="0"/>
    <x v="1"/>
    <x v="7"/>
    <x v="12"/>
    <x v="1"/>
  </r>
  <r>
    <x v="2220"/>
    <x v="8"/>
    <x v="0"/>
    <n v="70.5"/>
    <x v="1012"/>
    <x v="81"/>
    <d v="2025-03-24T00:00:00"/>
    <s v="M"/>
    <x v="0"/>
    <x v="0"/>
    <x v="0"/>
    <x v="3"/>
    <x v="3"/>
    <x v="12"/>
    <x v="1"/>
  </r>
  <r>
    <x v="2221"/>
    <x v="6"/>
    <x v="0"/>
    <n v="41.3"/>
    <x v="1667"/>
    <x v="81"/>
    <d v="2025-03-23T00:00:00"/>
    <s v="M"/>
    <x v="4"/>
    <x v="0"/>
    <x v="0"/>
    <x v="3"/>
    <x v="7"/>
    <x v="12"/>
    <x v="1"/>
  </r>
  <r>
    <x v="2222"/>
    <x v="4"/>
    <x v="0"/>
    <n v="35.299999999999997"/>
    <x v="1668"/>
    <x v="81"/>
    <d v="2025-03-26T00:00:00"/>
    <s v="F"/>
    <x v="4"/>
    <x v="2"/>
    <x v="0"/>
    <x v="3"/>
    <x v="2"/>
    <x v="12"/>
    <x v="2"/>
  </r>
  <r>
    <x v="2223"/>
    <x v="8"/>
    <x v="9"/>
    <n v="34.700000000000003"/>
    <x v="1669"/>
    <x v="81"/>
    <d v="2025-03-24T00:00:00"/>
    <s v="F"/>
    <x v="0"/>
    <x v="2"/>
    <x v="0"/>
    <x v="3"/>
    <x v="3"/>
    <x v="12"/>
    <x v="2"/>
  </r>
  <r>
    <x v="2224"/>
    <x v="8"/>
    <x v="2"/>
    <n v="26.1"/>
    <x v="1670"/>
    <x v="81"/>
    <d v="2025-03-24T00:00:00"/>
    <s v="F"/>
    <x v="0"/>
    <x v="0"/>
    <x v="0"/>
    <x v="3"/>
    <x v="3"/>
    <x v="12"/>
    <x v="2"/>
  </r>
  <r>
    <x v="2225"/>
    <x v="9"/>
    <x v="9"/>
    <n v="22.6"/>
    <x v="548"/>
    <x v="81"/>
    <d v="2025-03-23T00:00:00"/>
    <s v="F"/>
    <x v="1"/>
    <x v="2"/>
    <x v="0"/>
    <x v="3"/>
    <x v="7"/>
    <x v="12"/>
    <x v="2"/>
  </r>
  <r>
    <x v="2226"/>
    <x v="2"/>
    <x v="1"/>
    <n v="154.4"/>
    <x v="1671"/>
    <x v="81"/>
    <d v="2025-03-26T00:00:00"/>
    <s v="M"/>
    <x v="1"/>
    <x v="1"/>
    <x v="0"/>
    <x v="3"/>
    <x v="2"/>
    <x v="12"/>
    <x v="1"/>
  </r>
  <r>
    <x v="2227"/>
    <x v="8"/>
    <x v="1"/>
    <n v="18.399999999999999"/>
    <x v="791"/>
    <x v="81"/>
    <d v="2025-03-24T00:00:00"/>
    <s v="M"/>
    <x v="0"/>
    <x v="0"/>
    <x v="0"/>
    <x v="3"/>
    <x v="3"/>
    <x v="12"/>
    <x v="1"/>
  </r>
  <r>
    <x v="2228"/>
    <x v="14"/>
    <x v="0"/>
    <n v="25"/>
    <x v="1672"/>
    <x v="81"/>
    <d v="2025-03-26T00:00:00"/>
    <s v="F"/>
    <x v="0"/>
    <x v="0"/>
    <x v="0"/>
    <x v="3"/>
    <x v="2"/>
    <x v="12"/>
    <x v="2"/>
  </r>
  <r>
    <x v="2229"/>
    <x v="2"/>
    <x v="13"/>
    <n v="105.6"/>
    <x v="1673"/>
    <x v="81"/>
    <d v="2025-03-23T00:00:00"/>
    <s v="F"/>
    <x v="0"/>
    <x v="0"/>
    <x v="0"/>
    <x v="3"/>
    <x v="7"/>
    <x v="12"/>
    <x v="2"/>
  </r>
  <r>
    <x v="2230"/>
    <x v="18"/>
    <x v="8"/>
    <n v="59.6"/>
    <x v="1674"/>
    <x v="81"/>
    <d v="2025-03-23T00:00:00"/>
    <s v="F"/>
    <x v="0"/>
    <x v="2"/>
    <x v="0"/>
    <x v="23"/>
    <x v="7"/>
    <x v="12"/>
    <x v="2"/>
  </r>
  <r>
    <x v="2231"/>
    <x v="15"/>
    <x v="2"/>
    <n v="75.400000000000006"/>
    <x v="1675"/>
    <x v="81"/>
    <d v="2025-03-28T00:00:00"/>
    <s v="M"/>
    <x v="0"/>
    <x v="1"/>
    <x v="0"/>
    <x v="7"/>
    <x v="0"/>
    <x v="12"/>
    <x v="1"/>
  </r>
  <r>
    <x v="2232"/>
    <x v="7"/>
    <x v="0"/>
    <n v="104.4"/>
    <x v="1652"/>
    <x v="81"/>
    <d v="2025-03-24T00:00:00"/>
    <s v="F"/>
    <x v="0"/>
    <x v="0"/>
    <x v="0"/>
    <x v="8"/>
    <x v="3"/>
    <x v="12"/>
    <x v="2"/>
  </r>
  <r>
    <x v="2233"/>
    <x v="2"/>
    <x v="7"/>
    <n v="208.2"/>
    <x v="1676"/>
    <x v="81"/>
    <d v="2025-03-24T00:00:00"/>
    <s v="M"/>
    <x v="0"/>
    <x v="2"/>
    <x v="0"/>
    <x v="8"/>
    <x v="3"/>
    <x v="12"/>
    <x v="1"/>
  </r>
  <r>
    <x v="2234"/>
    <x v="6"/>
    <x v="1"/>
    <n v="45"/>
    <x v="645"/>
    <x v="81"/>
    <d v="2025-03-26T00:00:00"/>
    <s v="F"/>
    <x v="0"/>
    <x v="0"/>
    <x v="0"/>
    <x v="10"/>
    <x v="2"/>
    <x v="12"/>
    <x v="2"/>
  </r>
  <r>
    <x v="2235"/>
    <x v="15"/>
    <x v="1"/>
    <n v="20.3"/>
    <x v="1352"/>
    <x v="82"/>
    <d v="2025-03-26T00:00:00"/>
    <s v=""/>
    <x v="1"/>
    <x v="0"/>
    <x v="0"/>
    <x v="11"/>
    <x v="1"/>
    <x v="12"/>
    <x v="0"/>
  </r>
  <r>
    <x v="2236"/>
    <x v="2"/>
    <x v="2"/>
    <n v="94.4"/>
    <x v="1677"/>
    <x v="82"/>
    <d v="2025-03-25T00:00:00"/>
    <s v="F"/>
    <x v="0"/>
    <x v="2"/>
    <x v="0"/>
    <x v="11"/>
    <x v="3"/>
    <x v="12"/>
    <x v="2"/>
  </r>
  <r>
    <x v="2237"/>
    <x v="9"/>
    <x v="0"/>
    <n v="49"/>
    <x v="268"/>
    <x v="82"/>
    <d v="2025-03-26T00:00:00"/>
    <s v="F"/>
    <x v="0"/>
    <x v="2"/>
    <x v="0"/>
    <x v="20"/>
    <x v="1"/>
    <x v="12"/>
    <x v="2"/>
  </r>
  <r>
    <x v="2238"/>
    <x v="4"/>
    <x v="1"/>
    <n v="27.2"/>
    <x v="630"/>
    <x v="82"/>
    <d v="2025-03-26T00:00:00"/>
    <s v="M"/>
    <x v="0"/>
    <x v="2"/>
    <x v="0"/>
    <x v="1"/>
    <x v="1"/>
    <x v="12"/>
    <x v="1"/>
  </r>
  <r>
    <x v="2239"/>
    <x v="2"/>
    <x v="13"/>
    <n v="72.599999999999994"/>
    <x v="349"/>
    <x v="82"/>
    <d v="2025-03-25T00:00:00"/>
    <s v="F"/>
    <x v="0"/>
    <x v="2"/>
    <x v="0"/>
    <x v="2"/>
    <x v="3"/>
    <x v="12"/>
    <x v="2"/>
  </r>
  <r>
    <x v="2240"/>
    <x v="15"/>
    <x v="12"/>
    <n v="62.4"/>
    <x v="1267"/>
    <x v="82"/>
    <d v="2025-03-25T00:00:00"/>
    <s v="F"/>
    <x v="0"/>
    <x v="0"/>
    <x v="0"/>
    <x v="3"/>
    <x v="3"/>
    <x v="12"/>
    <x v="2"/>
  </r>
  <r>
    <x v="2241"/>
    <x v="8"/>
    <x v="2"/>
    <n v="19.100000000000001"/>
    <x v="1281"/>
    <x v="82"/>
    <d v="2025-03-26T00:00:00"/>
    <s v="M"/>
    <x v="0"/>
    <x v="1"/>
    <x v="0"/>
    <x v="3"/>
    <x v="1"/>
    <x v="12"/>
    <x v="1"/>
  </r>
  <r>
    <x v="2242"/>
    <x v="10"/>
    <x v="0"/>
    <n v="29.6"/>
    <x v="1678"/>
    <x v="82"/>
    <d v="2025-03-28T00:00:00"/>
    <s v="M"/>
    <x v="0"/>
    <x v="4"/>
    <x v="0"/>
    <x v="3"/>
    <x v="5"/>
    <x v="12"/>
    <x v="1"/>
  </r>
  <r>
    <x v="2243"/>
    <x v="8"/>
    <x v="1"/>
    <n v="18.899999999999999"/>
    <x v="463"/>
    <x v="82"/>
    <d v="2025-03-26T00:00:00"/>
    <s v="F"/>
    <x v="4"/>
    <x v="2"/>
    <x v="0"/>
    <x v="3"/>
    <x v="1"/>
    <x v="12"/>
    <x v="2"/>
  </r>
  <r>
    <x v="2244"/>
    <x v="10"/>
    <x v="9"/>
    <n v="41.4"/>
    <x v="461"/>
    <x v="82"/>
    <d v="2025-03-25T00:00:00"/>
    <s v="M"/>
    <x v="3"/>
    <x v="0"/>
    <x v="0"/>
    <x v="3"/>
    <x v="3"/>
    <x v="12"/>
    <x v="1"/>
  </r>
  <r>
    <x v="2245"/>
    <x v="2"/>
    <x v="0"/>
    <n v="118.4"/>
    <x v="1250"/>
    <x v="82"/>
    <d v="2025-03-25T00:00:00"/>
    <s v="F"/>
    <x v="0"/>
    <x v="2"/>
    <x v="0"/>
    <x v="3"/>
    <x v="3"/>
    <x v="12"/>
    <x v="2"/>
  </r>
  <r>
    <x v="2246"/>
    <x v="2"/>
    <x v="1"/>
    <n v="125.3"/>
    <x v="1679"/>
    <x v="82"/>
    <d v="2025-03-27T00:00:00"/>
    <s v="F"/>
    <x v="0"/>
    <x v="2"/>
    <x v="0"/>
    <x v="3"/>
    <x v="2"/>
    <x v="12"/>
    <x v="2"/>
  </r>
  <r>
    <x v="2247"/>
    <x v="3"/>
    <x v="1"/>
    <n v="85.8"/>
    <x v="1512"/>
    <x v="82"/>
    <d v="2025-03-25T00:00:00"/>
    <s v="F"/>
    <x v="1"/>
    <x v="4"/>
    <x v="0"/>
    <x v="3"/>
    <x v="3"/>
    <x v="12"/>
    <x v="2"/>
  </r>
  <r>
    <x v="2248"/>
    <x v="6"/>
    <x v="0"/>
    <n v="44.2"/>
    <x v="573"/>
    <x v="82"/>
    <d v="2025-03-27T00:00:00"/>
    <s v="M"/>
    <x v="1"/>
    <x v="0"/>
    <x v="0"/>
    <x v="3"/>
    <x v="2"/>
    <x v="12"/>
    <x v="1"/>
  </r>
  <r>
    <x v="2249"/>
    <x v="5"/>
    <x v="12"/>
    <n v="74.099999999999994"/>
    <x v="764"/>
    <x v="82"/>
    <d v="2025-03-26T00:00:00"/>
    <s v="F"/>
    <x v="0"/>
    <x v="0"/>
    <x v="0"/>
    <x v="3"/>
    <x v="1"/>
    <x v="12"/>
    <x v="2"/>
  </r>
  <r>
    <x v="2250"/>
    <x v="8"/>
    <x v="0"/>
    <n v="33.799999999999997"/>
    <x v="1680"/>
    <x v="82"/>
    <d v="2025-03-25T00:00:00"/>
    <s v="F"/>
    <x v="2"/>
    <x v="2"/>
    <x v="0"/>
    <x v="24"/>
    <x v="3"/>
    <x v="12"/>
    <x v="2"/>
  </r>
  <r>
    <x v="2251"/>
    <x v="1"/>
    <x v="1"/>
    <n v="39.1"/>
    <x v="1148"/>
    <x v="82"/>
    <d v="2025-03-25T00:00:00"/>
    <s v="M"/>
    <x v="0"/>
    <x v="1"/>
    <x v="0"/>
    <x v="24"/>
    <x v="3"/>
    <x v="12"/>
    <x v="1"/>
  </r>
  <r>
    <x v="2252"/>
    <x v="0"/>
    <x v="0"/>
    <n v="37.200000000000003"/>
    <x v="804"/>
    <x v="82"/>
    <d v="2025-03-25T00:00:00"/>
    <s v="M"/>
    <x v="0"/>
    <x v="1"/>
    <x v="0"/>
    <x v="16"/>
    <x v="3"/>
    <x v="12"/>
    <x v="1"/>
  </r>
  <r>
    <x v="2253"/>
    <x v="15"/>
    <x v="2"/>
    <n v="33.9"/>
    <x v="1681"/>
    <x v="82"/>
    <d v="2025-03-26T00:00:00"/>
    <s v="M"/>
    <x v="2"/>
    <x v="0"/>
    <x v="0"/>
    <x v="6"/>
    <x v="1"/>
    <x v="12"/>
    <x v="1"/>
  </r>
  <r>
    <x v="2254"/>
    <x v="7"/>
    <x v="20"/>
    <n v="73.3"/>
    <x v="1682"/>
    <x v="82"/>
    <d v="2025-03-27T00:00:00"/>
    <s v="F"/>
    <x v="2"/>
    <x v="1"/>
    <x v="0"/>
    <x v="8"/>
    <x v="2"/>
    <x v="12"/>
    <x v="2"/>
  </r>
  <r>
    <x v="2255"/>
    <x v="8"/>
    <x v="12"/>
    <n v="35"/>
    <x v="1683"/>
    <x v="82"/>
    <d v="2025-03-26T00:00:00"/>
    <s v="F"/>
    <x v="1"/>
    <x v="0"/>
    <x v="0"/>
    <x v="8"/>
    <x v="1"/>
    <x v="12"/>
    <x v="2"/>
  </r>
  <r>
    <x v="2256"/>
    <x v="0"/>
    <x v="2"/>
    <n v="22.2"/>
    <x v="815"/>
    <x v="82"/>
    <d v="2025-03-25T00:00:00"/>
    <s v="M"/>
    <x v="1"/>
    <x v="0"/>
    <x v="0"/>
    <x v="17"/>
    <x v="3"/>
    <x v="12"/>
    <x v="1"/>
  </r>
  <r>
    <x v="2257"/>
    <x v="10"/>
    <x v="0"/>
    <n v="32.4"/>
    <x v="1684"/>
    <x v="82"/>
    <d v="2025-03-25T00:00:00"/>
    <s v="F"/>
    <x v="0"/>
    <x v="0"/>
    <x v="0"/>
    <x v="11"/>
    <x v="3"/>
    <x v="12"/>
    <x v="2"/>
  </r>
  <r>
    <x v="2258"/>
    <x v="5"/>
    <x v="2"/>
    <n v="88.4"/>
    <x v="1685"/>
    <x v="83"/>
    <d v="2025-03-27T00:00:00"/>
    <s v="F"/>
    <x v="1"/>
    <x v="1"/>
    <x v="0"/>
    <x v="11"/>
    <x v="1"/>
    <x v="12"/>
    <x v="2"/>
  </r>
  <r>
    <x v="2259"/>
    <x v="5"/>
    <x v="27"/>
    <n v="30.5"/>
    <x v="865"/>
    <x v="83"/>
    <d v="2025-03-26T00:00:00"/>
    <s v="F"/>
    <x v="2"/>
    <x v="0"/>
    <x v="0"/>
    <x v="11"/>
    <x v="3"/>
    <x v="12"/>
    <x v="2"/>
  </r>
  <r>
    <x v="2260"/>
    <x v="1"/>
    <x v="13"/>
    <n v="38.1"/>
    <x v="1686"/>
    <x v="83"/>
    <d v="2025-03-27T00:00:00"/>
    <s v="F"/>
    <x v="0"/>
    <x v="1"/>
    <x v="0"/>
    <x v="11"/>
    <x v="1"/>
    <x v="12"/>
    <x v="2"/>
  </r>
  <r>
    <x v="2261"/>
    <x v="10"/>
    <x v="9"/>
    <n v="37.6"/>
    <x v="885"/>
    <x v="83"/>
    <d v="2025-03-29T00:00:00"/>
    <s v="M"/>
    <x v="0"/>
    <x v="0"/>
    <x v="0"/>
    <x v="11"/>
    <x v="5"/>
    <x v="12"/>
    <x v="1"/>
  </r>
  <r>
    <x v="2262"/>
    <x v="15"/>
    <x v="1"/>
    <n v="31.4"/>
    <x v="143"/>
    <x v="83"/>
    <d v="2025-03-26T00:00:00"/>
    <s v="M"/>
    <x v="0"/>
    <x v="2"/>
    <x v="0"/>
    <x v="11"/>
    <x v="3"/>
    <x v="12"/>
    <x v="1"/>
  </r>
  <r>
    <x v="2263"/>
    <x v="6"/>
    <x v="1"/>
    <n v="61.5"/>
    <x v="1287"/>
    <x v="83"/>
    <d v="2025-03-26T00:00:00"/>
    <s v="M"/>
    <x v="3"/>
    <x v="0"/>
    <x v="0"/>
    <x v="31"/>
    <x v="3"/>
    <x v="12"/>
    <x v="1"/>
  </r>
  <r>
    <x v="2264"/>
    <x v="6"/>
    <x v="0"/>
    <n v="72.599999999999994"/>
    <x v="1325"/>
    <x v="83"/>
    <d v="2025-03-26T00:00:00"/>
    <s v="M"/>
    <x v="0"/>
    <x v="1"/>
    <x v="0"/>
    <x v="21"/>
    <x v="3"/>
    <x v="12"/>
    <x v="1"/>
  </r>
  <r>
    <x v="2265"/>
    <x v="9"/>
    <x v="2"/>
    <n v="26.9"/>
    <x v="1687"/>
    <x v="83"/>
    <d v="2025-03-30T00:00:00"/>
    <s v="O"/>
    <x v="4"/>
    <x v="1"/>
    <x v="0"/>
    <x v="46"/>
    <x v="0"/>
    <x v="12"/>
    <x v="3"/>
  </r>
  <r>
    <x v="2266"/>
    <x v="17"/>
    <x v="4"/>
    <n v="29.4"/>
    <x v="1688"/>
    <x v="83"/>
    <d v="2025-03-26T00:00:00"/>
    <s v="F"/>
    <x v="1"/>
    <x v="0"/>
    <x v="0"/>
    <x v="51"/>
    <x v="3"/>
    <x v="12"/>
    <x v="2"/>
  </r>
  <r>
    <x v="2267"/>
    <x v="17"/>
    <x v="1"/>
    <n v="42.1"/>
    <x v="903"/>
    <x v="83"/>
    <d v="2025-03-26T00:00:00"/>
    <s v="F"/>
    <x v="3"/>
    <x v="1"/>
    <x v="0"/>
    <x v="1"/>
    <x v="3"/>
    <x v="12"/>
    <x v="2"/>
  </r>
  <r>
    <x v="2268"/>
    <x v="5"/>
    <x v="0"/>
    <n v="40.5"/>
    <x v="1117"/>
    <x v="83"/>
    <d v="2025-03-26T00:00:00"/>
    <s v="F"/>
    <x v="2"/>
    <x v="1"/>
    <x v="0"/>
    <x v="1"/>
    <x v="3"/>
    <x v="12"/>
    <x v="2"/>
  </r>
  <r>
    <x v="2269"/>
    <x v="2"/>
    <x v="12"/>
    <n v="182.3"/>
    <x v="1689"/>
    <x v="83"/>
    <d v="2025-03-26T00:00:00"/>
    <s v="F"/>
    <x v="1"/>
    <x v="0"/>
    <x v="0"/>
    <x v="1"/>
    <x v="3"/>
    <x v="12"/>
    <x v="2"/>
  </r>
  <r>
    <x v="2270"/>
    <x v="2"/>
    <x v="9"/>
    <n v="157"/>
    <x v="1690"/>
    <x v="83"/>
    <d v="2025-03-28T00:00:00"/>
    <s v="F"/>
    <x v="1"/>
    <x v="2"/>
    <x v="0"/>
    <x v="2"/>
    <x v="2"/>
    <x v="12"/>
    <x v="2"/>
  </r>
  <r>
    <x v="2271"/>
    <x v="17"/>
    <x v="9"/>
    <n v="45.2"/>
    <x v="326"/>
    <x v="83"/>
    <d v="2025-03-28T00:00:00"/>
    <s v="F"/>
    <x v="1"/>
    <x v="0"/>
    <x v="0"/>
    <x v="22"/>
    <x v="2"/>
    <x v="12"/>
    <x v="2"/>
  </r>
  <r>
    <x v="2272"/>
    <x v="15"/>
    <x v="12"/>
    <n v="27.4"/>
    <x v="1239"/>
    <x v="83"/>
    <d v="2025-03-27T00:00:00"/>
    <s v="F"/>
    <x v="0"/>
    <x v="0"/>
    <x v="0"/>
    <x v="3"/>
    <x v="1"/>
    <x v="12"/>
    <x v="2"/>
  </r>
  <r>
    <x v="2273"/>
    <x v="5"/>
    <x v="9"/>
    <n v="34.1"/>
    <x v="1691"/>
    <x v="83"/>
    <d v="2025-03-27T00:00:00"/>
    <s v="M"/>
    <x v="0"/>
    <x v="2"/>
    <x v="0"/>
    <x v="3"/>
    <x v="1"/>
    <x v="12"/>
    <x v="1"/>
  </r>
  <r>
    <x v="2274"/>
    <x v="0"/>
    <x v="1"/>
    <n v="26"/>
    <x v="1692"/>
    <x v="83"/>
    <d v="2025-03-27T00:00:00"/>
    <s v="M"/>
    <x v="2"/>
    <x v="1"/>
    <x v="0"/>
    <x v="3"/>
    <x v="1"/>
    <x v="12"/>
    <x v="1"/>
  </r>
  <r>
    <x v="2275"/>
    <x v="8"/>
    <x v="3"/>
    <n v="19.399999999999999"/>
    <x v="1693"/>
    <x v="83"/>
    <d v="2025-03-27T00:00:00"/>
    <s v=""/>
    <x v="1"/>
    <x v="1"/>
    <x v="0"/>
    <x v="3"/>
    <x v="1"/>
    <x v="12"/>
    <x v="0"/>
  </r>
  <r>
    <x v="2276"/>
    <x v="16"/>
    <x v="2"/>
    <n v="30.3"/>
    <x v="407"/>
    <x v="83"/>
    <d v="2025-03-28T00:00:00"/>
    <s v="F"/>
    <x v="1"/>
    <x v="2"/>
    <x v="0"/>
    <x v="3"/>
    <x v="2"/>
    <x v="12"/>
    <x v="2"/>
  </r>
  <r>
    <x v="2277"/>
    <x v="2"/>
    <x v="2"/>
    <n v="101.4"/>
    <x v="1694"/>
    <x v="83"/>
    <d v="2025-03-26T00:00:00"/>
    <s v="M"/>
    <x v="0"/>
    <x v="0"/>
    <x v="0"/>
    <x v="3"/>
    <x v="3"/>
    <x v="12"/>
    <x v="1"/>
  </r>
  <r>
    <x v="2278"/>
    <x v="3"/>
    <x v="9"/>
    <n v="55.5"/>
    <x v="819"/>
    <x v="83"/>
    <d v="2025-03-28T00:00:00"/>
    <s v="M"/>
    <x v="1"/>
    <x v="0"/>
    <x v="0"/>
    <x v="24"/>
    <x v="2"/>
    <x v="12"/>
    <x v="1"/>
  </r>
  <r>
    <x v="2279"/>
    <x v="8"/>
    <x v="0"/>
    <n v="23.1"/>
    <x v="1695"/>
    <x v="83"/>
    <d v="2025-03-26T00:00:00"/>
    <s v="M"/>
    <x v="0"/>
    <x v="0"/>
    <x v="0"/>
    <x v="25"/>
    <x v="3"/>
    <x v="12"/>
    <x v="1"/>
  </r>
  <r>
    <x v="2280"/>
    <x v="18"/>
    <x v="1"/>
    <n v="38.9"/>
    <x v="482"/>
    <x v="83"/>
    <d v="2025-03-26T00:00:00"/>
    <s v="M"/>
    <x v="2"/>
    <x v="0"/>
    <x v="0"/>
    <x v="25"/>
    <x v="3"/>
    <x v="12"/>
    <x v="1"/>
  </r>
  <r>
    <x v="2281"/>
    <x v="6"/>
    <x v="11"/>
    <n v="116.3"/>
    <x v="1696"/>
    <x v="83"/>
    <d v="2025-03-29T00:00:00"/>
    <s v="F"/>
    <x v="0"/>
    <x v="0"/>
    <x v="0"/>
    <x v="5"/>
    <x v="5"/>
    <x v="12"/>
    <x v="2"/>
  </r>
  <r>
    <x v="2282"/>
    <x v="16"/>
    <x v="11"/>
    <n v="64.099999999999994"/>
    <x v="1697"/>
    <x v="83"/>
    <d v="2025-03-25T00:00:00"/>
    <s v="F"/>
    <x v="0"/>
    <x v="2"/>
    <x v="0"/>
    <x v="6"/>
    <x v="7"/>
    <x v="12"/>
    <x v="2"/>
  </r>
  <r>
    <x v="2283"/>
    <x v="2"/>
    <x v="13"/>
    <n v="109.2"/>
    <x v="1698"/>
    <x v="83"/>
    <d v="2025-03-27T00:00:00"/>
    <s v="M"/>
    <x v="0"/>
    <x v="1"/>
    <x v="0"/>
    <x v="8"/>
    <x v="1"/>
    <x v="12"/>
    <x v="1"/>
  </r>
  <r>
    <x v="2284"/>
    <x v="10"/>
    <x v="9"/>
    <n v="23.2"/>
    <x v="1699"/>
    <x v="84"/>
    <d v="2025-03-27T00:00:00"/>
    <s v="M"/>
    <x v="0"/>
    <x v="1"/>
    <x v="0"/>
    <x v="8"/>
    <x v="3"/>
    <x v="12"/>
    <x v="1"/>
  </r>
  <r>
    <x v="2285"/>
    <x v="18"/>
    <x v="13"/>
    <n v="81.2"/>
    <x v="1700"/>
    <x v="84"/>
    <d v="2025-03-28T00:00:00"/>
    <s v="M"/>
    <x v="2"/>
    <x v="2"/>
    <x v="0"/>
    <x v="8"/>
    <x v="1"/>
    <x v="12"/>
    <x v="1"/>
  </r>
  <r>
    <x v="2286"/>
    <x v="1"/>
    <x v="21"/>
    <n v="35.700000000000003"/>
    <x v="1701"/>
    <x v="84"/>
    <d v="2025-03-27T00:00:00"/>
    <s v="M"/>
    <x v="3"/>
    <x v="0"/>
    <x v="0"/>
    <x v="8"/>
    <x v="3"/>
    <x v="12"/>
    <x v="1"/>
  </r>
  <r>
    <x v="2287"/>
    <x v="7"/>
    <x v="1"/>
    <n v="44.5"/>
    <x v="1702"/>
    <x v="84"/>
    <d v="2025-03-29T00:00:00"/>
    <s v="M"/>
    <x v="4"/>
    <x v="0"/>
    <x v="0"/>
    <x v="9"/>
    <x v="2"/>
    <x v="12"/>
    <x v="1"/>
  </r>
  <r>
    <x v="2288"/>
    <x v="1"/>
    <x v="9"/>
    <n v="32"/>
    <x v="444"/>
    <x v="84"/>
    <d v="2025-03-28T00:00:00"/>
    <s v="O"/>
    <x v="1"/>
    <x v="1"/>
    <x v="0"/>
    <x v="9"/>
    <x v="1"/>
    <x v="12"/>
    <x v="3"/>
  </r>
  <r>
    <x v="2289"/>
    <x v="8"/>
    <x v="0"/>
    <n v="25.7"/>
    <x v="1703"/>
    <x v="84"/>
    <d v="2025-03-27T00:00:00"/>
    <s v="M"/>
    <x v="0"/>
    <x v="0"/>
    <x v="0"/>
    <x v="10"/>
    <x v="3"/>
    <x v="12"/>
    <x v="1"/>
  </r>
  <r>
    <x v="2290"/>
    <x v="16"/>
    <x v="2"/>
    <n v="65.599999999999994"/>
    <x v="487"/>
    <x v="84"/>
    <d v="2025-04-01T00:00:00"/>
    <s v="M"/>
    <x v="0"/>
    <x v="0"/>
    <x v="0"/>
    <x v="11"/>
    <x v="4"/>
    <x v="12"/>
    <x v="1"/>
  </r>
  <r>
    <x v="2291"/>
    <x v="1"/>
    <x v="12"/>
    <n v="52.1"/>
    <x v="1704"/>
    <x v="84"/>
    <d v="2025-03-27T00:00:00"/>
    <s v="F"/>
    <x v="0"/>
    <x v="2"/>
    <x v="0"/>
    <x v="11"/>
    <x v="3"/>
    <x v="12"/>
    <x v="2"/>
  </r>
  <r>
    <x v="2292"/>
    <x v="8"/>
    <x v="0"/>
    <n v="31"/>
    <x v="1705"/>
    <x v="84"/>
    <d v="2025-03-27T00:00:00"/>
    <s v="M"/>
    <x v="0"/>
    <x v="1"/>
    <x v="0"/>
    <x v="19"/>
    <x v="3"/>
    <x v="12"/>
    <x v="1"/>
  </r>
  <r>
    <x v="2293"/>
    <x v="8"/>
    <x v="0"/>
    <n v="32"/>
    <x v="109"/>
    <x v="84"/>
    <d v="2025-03-28T00:00:00"/>
    <s v="O"/>
    <x v="3"/>
    <x v="1"/>
    <x v="0"/>
    <x v="31"/>
    <x v="1"/>
    <x v="12"/>
    <x v="3"/>
  </r>
  <r>
    <x v="2294"/>
    <x v="16"/>
    <x v="12"/>
    <n v="58.3"/>
    <x v="1706"/>
    <x v="84"/>
    <d v="2025-03-30T00:00:00"/>
    <s v="M"/>
    <x v="1"/>
    <x v="4"/>
    <x v="0"/>
    <x v="20"/>
    <x v="5"/>
    <x v="12"/>
    <x v="1"/>
  </r>
  <r>
    <x v="2295"/>
    <x v="8"/>
    <x v="2"/>
    <n v="31"/>
    <x v="1707"/>
    <x v="84"/>
    <d v="2025-03-28T00:00:00"/>
    <s v="F"/>
    <x v="2"/>
    <x v="4"/>
    <x v="0"/>
    <x v="13"/>
    <x v="1"/>
    <x v="12"/>
    <x v="2"/>
  </r>
  <r>
    <x v="2296"/>
    <x v="3"/>
    <x v="0"/>
    <n v="40.299999999999997"/>
    <x v="518"/>
    <x v="84"/>
    <d v="2025-03-27T00:00:00"/>
    <s v="M"/>
    <x v="1"/>
    <x v="2"/>
    <x v="0"/>
    <x v="54"/>
    <x v="3"/>
    <x v="12"/>
    <x v="1"/>
  </r>
  <r>
    <x v="2297"/>
    <x v="6"/>
    <x v="2"/>
    <n v="47.3"/>
    <x v="1708"/>
    <x v="84"/>
    <d v="2025-03-28T00:00:00"/>
    <s v="M"/>
    <x v="4"/>
    <x v="2"/>
    <x v="0"/>
    <x v="2"/>
    <x v="1"/>
    <x v="12"/>
    <x v="1"/>
  </r>
  <r>
    <x v="2298"/>
    <x v="2"/>
    <x v="0"/>
    <n v="82.8"/>
    <x v="1182"/>
    <x v="84"/>
    <d v="2025-03-27T00:00:00"/>
    <s v="M"/>
    <x v="0"/>
    <x v="0"/>
    <x v="0"/>
    <x v="2"/>
    <x v="3"/>
    <x v="12"/>
    <x v="1"/>
  </r>
  <r>
    <x v="2299"/>
    <x v="8"/>
    <x v="0"/>
    <n v="18.5"/>
    <x v="1709"/>
    <x v="84"/>
    <d v="2025-04-09T00:00:00"/>
    <s v="F"/>
    <x v="0"/>
    <x v="0"/>
    <x v="0"/>
    <x v="44"/>
    <x v="12"/>
    <x v="12"/>
    <x v="2"/>
  </r>
  <r>
    <x v="2300"/>
    <x v="3"/>
    <x v="1"/>
    <n v="60.4"/>
    <x v="1710"/>
    <x v="84"/>
    <d v="2025-03-27T00:00:00"/>
    <s v="M"/>
    <x v="2"/>
    <x v="0"/>
    <x v="0"/>
    <x v="22"/>
    <x v="3"/>
    <x v="12"/>
    <x v="1"/>
  </r>
  <r>
    <x v="2301"/>
    <x v="6"/>
    <x v="9"/>
    <n v="80.2"/>
    <x v="1711"/>
    <x v="84"/>
    <d v="2025-04-02T00:00:00"/>
    <s v="M"/>
    <x v="1"/>
    <x v="1"/>
    <x v="0"/>
    <x v="50"/>
    <x v="6"/>
    <x v="12"/>
    <x v="1"/>
  </r>
  <r>
    <x v="2302"/>
    <x v="4"/>
    <x v="0"/>
    <n v="41.5"/>
    <x v="1712"/>
    <x v="84"/>
    <d v="2025-03-28T00:00:00"/>
    <s v="M"/>
    <x v="2"/>
    <x v="0"/>
    <x v="0"/>
    <x v="3"/>
    <x v="1"/>
    <x v="12"/>
    <x v="1"/>
  </r>
  <r>
    <x v="2303"/>
    <x v="2"/>
    <x v="1"/>
    <n v="83.9"/>
    <x v="1713"/>
    <x v="84"/>
    <d v="2025-03-29T00:00:00"/>
    <s v="F"/>
    <x v="0"/>
    <x v="0"/>
    <x v="0"/>
    <x v="3"/>
    <x v="2"/>
    <x v="12"/>
    <x v="2"/>
  </r>
  <r>
    <x v="2304"/>
    <x v="8"/>
    <x v="1"/>
    <n v="16.7"/>
    <x v="1417"/>
    <x v="84"/>
    <d v="2025-03-30T00:00:00"/>
    <s v="F"/>
    <x v="0"/>
    <x v="1"/>
    <x v="0"/>
    <x v="3"/>
    <x v="5"/>
    <x v="12"/>
    <x v="2"/>
  </r>
  <r>
    <x v="2305"/>
    <x v="9"/>
    <x v="1"/>
    <n v="72.900000000000006"/>
    <x v="1626"/>
    <x v="84"/>
    <d v="2025-03-27T00:00:00"/>
    <s v="M"/>
    <x v="2"/>
    <x v="1"/>
    <x v="0"/>
    <x v="3"/>
    <x v="3"/>
    <x v="12"/>
    <x v="1"/>
  </r>
  <r>
    <x v="2306"/>
    <x v="5"/>
    <x v="1"/>
    <n v="50.2"/>
    <x v="862"/>
    <x v="84"/>
    <d v="2025-03-28T00:00:00"/>
    <s v="F"/>
    <x v="1"/>
    <x v="2"/>
    <x v="0"/>
    <x v="3"/>
    <x v="1"/>
    <x v="12"/>
    <x v="2"/>
  </r>
  <r>
    <x v="2307"/>
    <x v="3"/>
    <x v="1"/>
    <n v="34.200000000000003"/>
    <x v="1714"/>
    <x v="84"/>
    <d v="2025-04-05T00:00:00"/>
    <s v=""/>
    <x v="1"/>
    <x v="0"/>
    <x v="0"/>
    <x v="3"/>
    <x v="14"/>
    <x v="12"/>
    <x v="0"/>
  </r>
  <r>
    <x v="2308"/>
    <x v="5"/>
    <x v="1"/>
    <n v="107.9"/>
    <x v="1715"/>
    <x v="84"/>
    <d v="2025-03-26T00:00:00"/>
    <s v="M"/>
    <x v="1"/>
    <x v="4"/>
    <x v="0"/>
    <x v="3"/>
    <x v="7"/>
    <x v="12"/>
    <x v="1"/>
  </r>
  <r>
    <x v="2309"/>
    <x v="0"/>
    <x v="2"/>
    <n v="17.5"/>
    <x v="413"/>
    <x v="84"/>
    <d v="2025-03-28T00:00:00"/>
    <s v="M"/>
    <x v="4"/>
    <x v="0"/>
    <x v="0"/>
    <x v="3"/>
    <x v="1"/>
    <x v="12"/>
    <x v="1"/>
  </r>
  <r>
    <x v="2310"/>
    <x v="13"/>
    <x v="20"/>
    <n v="44.7"/>
    <x v="1716"/>
    <x v="84"/>
    <d v="2025-03-27T00:00:00"/>
    <s v="M"/>
    <x v="0"/>
    <x v="1"/>
    <x v="0"/>
    <x v="3"/>
    <x v="3"/>
    <x v="12"/>
    <x v="1"/>
  </r>
  <r>
    <x v="2311"/>
    <x v="12"/>
    <x v="13"/>
    <n v="92.7"/>
    <x v="1717"/>
    <x v="84"/>
    <d v="2025-03-28T00:00:00"/>
    <s v="F"/>
    <x v="2"/>
    <x v="1"/>
    <x v="0"/>
    <x v="3"/>
    <x v="1"/>
    <x v="12"/>
    <x v="2"/>
  </r>
  <r>
    <x v="2312"/>
    <x v="7"/>
    <x v="2"/>
    <n v="48.8"/>
    <x v="1718"/>
    <x v="84"/>
    <d v="2025-03-28T00:00:00"/>
    <s v="F"/>
    <x v="2"/>
    <x v="0"/>
    <x v="0"/>
    <x v="3"/>
    <x v="1"/>
    <x v="12"/>
    <x v="2"/>
  </r>
  <r>
    <x v="2313"/>
    <x v="4"/>
    <x v="27"/>
    <n v="21.3"/>
    <x v="1153"/>
    <x v="84"/>
    <d v="2025-03-30T00:00:00"/>
    <s v="F"/>
    <x v="3"/>
    <x v="3"/>
    <x v="0"/>
    <x v="3"/>
    <x v="5"/>
    <x v="12"/>
    <x v="2"/>
  </r>
  <r>
    <x v="2314"/>
    <x v="16"/>
    <x v="0"/>
    <n v="52.5"/>
    <x v="413"/>
    <x v="84"/>
    <d v="2025-03-27T00:00:00"/>
    <s v="F"/>
    <x v="0"/>
    <x v="0"/>
    <x v="0"/>
    <x v="3"/>
    <x v="3"/>
    <x v="12"/>
    <x v="2"/>
  </r>
  <r>
    <x v="2315"/>
    <x v="1"/>
    <x v="1"/>
    <n v="92.4"/>
    <x v="827"/>
    <x v="84"/>
    <d v="2025-04-01T00:00:00"/>
    <s v="F"/>
    <x v="0"/>
    <x v="2"/>
    <x v="0"/>
    <x v="3"/>
    <x v="4"/>
    <x v="12"/>
    <x v="2"/>
  </r>
  <r>
    <x v="2316"/>
    <x v="4"/>
    <x v="5"/>
    <n v="58.3"/>
    <x v="1719"/>
    <x v="84"/>
    <d v="2025-03-28T00:00:00"/>
    <s v="M"/>
    <x v="1"/>
    <x v="2"/>
    <x v="0"/>
    <x v="3"/>
    <x v="1"/>
    <x v="12"/>
    <x v="1"/>
  </r>
  <r>
    <x v="2317"/>
    <x v="6"/>
    <x v="44"/>
    <n v="152.6"/>
    <x v="1720"/>
    <x v="85"/>
    <d v="2025-03-29T00:00:00"/>
    <s v=""/>
    <x v="0"/>
    <x v="0"/>
    <x v="0"/>
    <x v="3"/>
    <x v="1"/>
    <x v="12"/>
    <x v="0"/>
  </r>
  <r>
    <x v="2318"/>
    <x v="8"/>
    <x v="1"/>
    <n v="26"/>
    <x v="1692"/>
    <x v="85"/>
    <d v="2025-03-27T00:00:00"/>
    <s v=""/>
    <x v="0"/>
    <x v="1"/>
    <x v="0"/>
    <x v="3"/>
    <x v="7"/>
    <x v="12"/>
    <x v="0"/>
  </r>
  <r>
    <x v="2319"/>
    <x v="1"/>
    <x v="12"/>
    <n v="33.1"/>
    <x v="979"/>
    <x v="85"/>
    <d v="2025-03-27T00:00:00"/>
    <s v="M"/>
    <x v="2"/>
    <x v="4"/>
    <x v="0"/>
    <x v="5"/>
    <x v="7"/>
    <x v="12"/>
    <x v="1"/>
  </r>
  <r>
    <x v="2320"/>
    <x v="18"/>
    <x v="0"/>
    <n v="51.4"/>
    <x v="1045"/>
    <x v="85"/>
    <d v="2025-03-29T00:00:00"/>
    <s v="F"/>
    <x v="1"/>
    <x v="1"/>
    <x v="0"/>
    <x v="5"/>
    <x v="1"/>
    <x v="12"/>
    <x v="2"/>
  </r>
  <r>
    <x v="2321"/>
    <x v="8"/>
    <x v="1"/>
    <n v="30.2"/>
    <x v="266"/>
    <x v="85"/>
    <d v="2025-03-28T00:00:00"/>
    <s v="F"/>
    <x v="2"/>
    <x v="2"/>
    <x v="0"/>
    <x v="6"/>
    <x v="3"/>
    <x v="12"/>
    <x v="2"/>
  </r>
  <r>
    <x v="2322"/>
    <x v="2"/>
    <x v="13"/>
    <n v="97"/>
    <x v="1544"/>
    <x v="85"/>
    <d v="2025-03-31T00:00:00"/>
    <s v="F"/>
    <x v="0"/>
    <x v="2"/>
    <x v="0"/>
    <x v="7"/>
    <x v="5"/>
    <x v="12"/>
    <x v="2"/>
  </r>
  <r>
    <x v="2323"/>
    <x v="2"/>
    <x v="0"/>
    <n v="76.900000000000006"/>
    <x v="1721"/>
    <x v="85"/>
    <d v="2025-03-28T00:00:00"/>
    <s v="M"/>
    <x v="1"/>
    <x v="2"/>
    <x v="0"/>
    <x v="8"/>
    <x v="3"/>
    <x v="12"/>
    <x v="1"/>
  </r>
  <r>
    <x v="2324"/>
    <x v="7"/>
    <x v="13"/>
    <n v="36.1"/>
    <x v="1722"/>
    <x v="85"/>
    <d v="2025-03-31T00:00:00"/>
    <s v="F"/>
    <x v="0"/>
    <x v="0"/>
    <x v="0"/>
    <x v="8"/>
    <x v="5"/>
    <x v="12"/>
    <x v="2"/>
  </r>
  <r>
    <x v="2325"/>
    <x v="1"/>
    <x v="3"/>
    <n v="34.4"/>
    <x v="1723"/>
    <x v="85"/>
    <d v="2025-03-27T00:00:00"/>
    <s v="F"/>
    <x v="2"/>
    <x v="1"/>
    <x v="0"/>
    <x v="11"/>
    <x v="7"/>
    <x v="12"/>
    <x v="2"/>
  </r>
  <r>
    <x v="2326"/>
    <x v="1"/>
    <x v="31"/>
    <n v="53.4"/>
    <x v="1724"/>
    <x v="85"/>
    <d v="2025-03-29T00:00:00"/>
    <s v="F"/>
    <x v="1"/>
    <x v="0"/>
    <x v="0"/>
    <x v="18"/>
    <x v="1"/>
    <x v="12"/>
    <x v="2"/>
  </r>
  <r>
    <x v="2327"/>
    <x v="2"/>
    <x v="0"/>
    <n v="77.599999999999994"/>
    <x v="1598"/>
    <x v="85"/>
    <d v="2025-03-28T00:00:00"/>
    <s v="F"/>
    <x v="0"/>
    <x v="1"/>
    <x v="0"/>
    <x v="19"/>
    <x v="3"/>
    <x v="12"/>
    <x v="2"/>
  </r>
  <r>
    <x v="2328"/>
    <x v="1"/>
    <x v="2"/>
    <n v="71.7"/>
    <x v="1725"/>
    <x v="85"/>
    <d v="2025-03-30T00:00:00"/>
    <s v="F"/>
    <x v="1"/>
    <x v="0"/>
    <x v="0"/>
    <x v="19"/>
    <x v="2"/>
    <x v="12"/>
    <x v="2"/>
  </r>
  <r>
    <x v="2329"/>
    <x v="3"/>
    <x v="2"/>
    <n v="80.599999999999994"/>
    <x v="1726"/>
    <x v="85"/>
    <d v="2025-03-28T00:00:00"/>
    <s v="M"/>
    <x v="4"/>
    <x v="1"/>
    <x v="0"/>
    <x v="19"/>
    <x v="3"/>
    <x v="12"/>
    <x v="1"/>
  </r>
  <r>
    <x v="2330"/>
    <x v="1"/>
    <x v="20"/>
    <n v="70"/>
    <x v="1727"/>
    <x v="85"/>
    <d v="2025-03-29T00:00:00"/>
    <s v="M"/>
    <x v="0"/>
    <x v="0"/>
    <x v="0"/>
    <x v="20"/>
    <x v="1"/>
    <x v="12"/>
    <x v="1"/>
  </r>
  <r>
    <x v="2331"/>
    <x v="4"/>
    <x v="13"/>
    <n v="27.3"/>
    <x v="1728"/>
    <x v="85"/>
    <d v="2025-03-29T00:00:00"/>
    <s v="F"/>
    <x v="1"/>
    <x v="1"/>
    <x v="0"/>
    <x v="2"/>
    <x v="1"/>
    <x v="12"/>
    <x v="2"/>
  </r>
  <r>
    <x v="2332"/>
    <x v="8"/>
    <x v="21"/>
    <n v="37.6"/>
    <x v="1729"/>
    <x v="85"/>
    <d v="2025-03-29T00:00:00"/>
    <s v="M"/>
    <x v="1"/>
    <x v="0"/>
    <x v="0"/>
    <x v="3"/>
    <x v="1"/>
    <x v="12"/>
    <x v="1"/>
  </r>
  <r>
    <x v="2333"/>
    <x v="5"/>
    <x v="2"/>
    <n v="36.6"/>
    <x v="17"/>
    <x v="85"/>
    <d v="2025-03-29T00:00:00"/>
    <s v="F"/>
    <x v="4"/>
    <x v="0"/>
    <x v="0"/>
    <x v="3"/>
    <x v="1"/>
    <x v="12"/>
    <x v="2"/>
  </r>
  <r>
    <x v="2334"/>
    <x v="13"/>
    <x v="0"/>
    <n v="55.2"/>
    <x v="291"/>
    <x v="85"/>
    <d v="2025-03-29T00:00:00"/>
    <s v="M"/>
    <x v="3"/>
    <x v="0"/>
    <x v="0"/>
    <x v="3"/>
    <x v="1"/>
    <x v="12"/>
    <x v="1"/>
  </r>
  <r>
    <x v="2335"/>
    <x v="6"/>
    <x v="9"/>
    <n v="59.9"/>
    <x v="1444"/>
    <x v="85"/>
    <d v="2025-03-29T00:00:00"/>
    <s v="M"/>
    <x v="0"/>
    <x v="0"/>
    <x v="0"/>
    <x v="3"/>
    <x v="1"/>
    <x v="12"/>
    <x v="1"/>
  </r>
  <r>
    <x v="2336"/>
    <x v="6"/>
    <x v="0"/>
    <n v="44"/>
    <x v="945"/>
    <x v="85"/>
    <d v="2025-03-28T00:00:00"/>
    <s v="F"/>
    <x v="2"/>
    <x v="2"/>
    <x v="0"/>
    <x v="3"/>
    <x v="3"/>
    <x v="12"/>
    <x v="2"/>
  </r>
  <r>
    <x v="2337"/>
    <x v="9"/>
    <x v="1"/>
    <n v="68.7"/>
    <x v="1730"/>
    <x v="85"/>
    <d v="2025-03-27T00:00:00"/>
    <s v="M"/>
    <x v="0"/>
    <x v="0"/>
    <x v="0"/>
    <x v="3"/>
    <x v="7"/>
    <x v="12"/>
    <x v="1"/>
  </r>
  <r>
    <x v="2338"/>
    <x v="5"/>
    <x v="1"/>
    <n v="61.6"/>
    <x v="1432"/>
    <x v="85"/>
    <d v="2025-03-31T00:00:00"/>
    <s v="M"/>
    <x v="3"/>
    <x v="1"/>
    <x v="0"/>
    <x v="3"/>
    <x v="5"/>
    <x v="12"/>
    <x v="1"/>
  </r>
  <r>
    <x v="2339"/>
    <x v="7"/>
    <x v="3"/>
    <n v="51.8"/>
    <x v="1731"/>
    <x v="85"/>
    <d v="2025-03-28T00:00:00"/>
    <s v="M"/>
    <x v="0"/>
    <x v="0"/>
    <x v="0"/>
    <x v="3"/>
    <x v="3"/>
    <x v="12"/>
    <x v="1"/>
  </r>
  <r>
    <x v="2340"/>
    <x v="8"/>
    <x v="7"/>
    <n v="46.2"/>
    <x v="1236"/>
    <x v="85"/>
    <d v="2025-03-29T00:00:00"/>
    <s v="M"/>
    <x v="1"/>
    <x v="2"/>
    <x v="0"/>
    <x v="3"/>
    <x v="1"/>
    <x v="12"/>
    <x v="1"/>
  </r>
  <r>
    <x v="2341"/>
    <x v="0"/>
    <x v="1"/>
    <n v="19.399999999999999"/>
    <x v="1732"/>
    <x v="85"/>
    <d v="2025-03-29T00:00:00"/>
    <s v="F"/>
    <x v="1"/>
    <x v="2"/>
    <x v="0"/>
    <x v="6"/>
    <x v="1"/>
    <x v="12"/>
    <x v="2"/>
  </r>
  <r>
    <x v="2342"/>
    <x v="11"/>
    <x v="2"/>
    <n v="52.1"/>
    <x v="1733"/>
    <x v="85"/>
    <d v="2025-03-30T00:00:00"/>
    <s v="M"/>
    <x v="3"/>
    <x v="3"/>
    <x v="0"/>
    <x v="6"/>
    <x v="2"/>
    <x v="12"/>
    <x v="1"/>
  </r>
  <r>
    <x v="2343"/>
    <x v="6"/>
    <x v="0"/>
    <n v="74.900000000000006"/>
    <x v="1734"/>
    <x v="85"/>
    <d v="2025-03-29T00:00:00"/>
    <s v="O"/>
    <x v="0"/>
    <x v="0"/>
    <x v="0"/>
    <x v="7"/>
    <x v="1"/>
    <x v="12"/>
    <x v="3"/>
  </r>
  <r>
    <x v="2344"/>
    <x v="9"/>
    <x v="3"/>
    <n v="49.6"/>
    <x v="1735"/>
    <x v="85"/>
    <d v="2025-03-30T00:00:00"/>
    <s v="F"/>
    <x v="4"/>
    <x v="0"/>
    <x v="0"/>
    <x v="8"/>
    <x v="2"/>
    <x v="12"/>
    <x v="2"/>
  </r>
  <r>
    <x v="2345"/>
    <x v="16"/>
    <x v="12"/>
    <n v="82.8"/>
    <x v="1736"/>
    <x v="86"/>
    <d v="2025-03-31T00:00:00"/>
    <s v="F"/>
    <x v="4"/>
    <x v="0"/>
    <x v="0"/>
    <x v="8"/>
    <x v="2"/>
    <x v="12"/>
    <x v="2"/>
  </r>
  <r>
    <x v="2346"/>
    <x v="2"/>
    <x v="0"/>
    <n v="97.7"/>
    <x v="68"/>
    <x v="86"/>
    <d v="2025-03-29T00:00:00"/>
    <s v="F"/>
    <x v="1"/>
    <x v="0"/>
    <x v="0"/>
    <x v="8"/>
    <x v="3"/>
    <x v="12"/>
    <x v="2"/>
  </r>
  <r>
    <x v="2347"/>
    <x v="6"/>
    <x v="9"/>
    <n v="83.6"/>
    <x v="378"/>
    <x v="86"/>
    <d v="2025-03-29T00:00:00"/>
    <s v="F"/>
    <x v="4"/>
    <x v="0"/>
    <x v="0"/>
    <x v="8"/>
    <x v="3"/>
    <x v="12"/>
    <x v="2"/>
  </r>
  <r>
    <x v="2348"/>
    <x v="8"/>
    <x v="9"/>
    <n v="23.5"/>
    <x v="1737"/>
    <x v="86"/>
    <d v="2025-04-01T00:00:00"/>
    <s v="O"/>
    <x v="0"/>
    <x v="0"/>
    <x v="0"/>
    <x v="8"/>
    <x v="5"/>
    <x v="12"/>
    <x v="3"/>
  </r>
  <r>
    <x v="2349"/>
    <x v="9"/>
    <x v="2"/>
    <n v="44.6"/>
    <x v="981"/>
    <x v="86"/>
    <d v="2025-03-31T00:00:00"/>
    <s v="F"/>
    <x v="4"/>
    <x v="1"/>
    <x v="0"/>
    <x v="26"/>
    <x v="2"/>
    <x v="12"/>
    <x v="2"/>
  </r>
  <r>
    <x v="2350"/>
    <x v="0"/>
    <x v="2"/>
    <n v="20.100000000000001"/>
    <x v="1738"/>
    <x v="86"/>
    <d v="2025-03-30T00:00:00"/>
    <s v="F"/>
    <x v="3"/>
    <x v="4"/>
    <x v="0"/>
    <x v="11"/>
    <x v="1"/>
    <x v="12"/>
    <x v="2"/>
  </r>
  <r>
    <x v="2351"/>
    <x v="2"/>
    <x v="9"/>
    <n v="153.6"/>
    <x v="1739"/>
    <x v="86"/>
    <d v="2025-03-29T00:00:00"/>
    <s v="F"/>
    <x v="1"/>
    <x v="2"/>
    <x v="0"/>
    <x v="53"/>
    <x v="3"/>
    <x v="12"/>
    <x v="2"/>
  </r>
  <r>
    <x v="2352"/>
    <x v="1"/>
    <x v="1"/>
    <n v="71.8"/>
    <x v="897"/>
    <x v="86"/>
    <d v="2025-04-01T00:00:00"/>
    <s v="F"/>
    <x v="1"/>
    <x v="0"/>
    <x v="0"/>
    <x v="1"/>
    <x v="5"/>
    <x v="12"/>
    <x v="2"/>
  </r>
  <r>
    <x v="2353"/>
    <x v="10"/>
    <x v="0"/>
    <n v="64.7"/>
    <x v="1740"/>
    <x v="86"/>
    <d v="2025-03-30T00:00:00"/>
    <s v=""/>
    <x v="0"/>
    <x v="1"/>
    <x v="0"/>
    <x v="1"/>
    <x v="1"/>
    <x v="12"/>
    <x v="0"/>
  </r>
  <r>
    <x v="2354"/>
    <x v="9"/>
    <x v="8"/>
    <n v="60.4"/>
    <x v="1741"/>
    <x v="86"/>
    <d v="2025-03-30T00:00:00"/>
    <s v="F"/>
    <x v="3"/>
    <x v="2"/>
    <x v="0"/>
    <x v="2"/>
    <x v="1"/>
    <x v="12"/>
    <x v="2"/>
  </r>
  <r>
    <x v="2355"/>
    <x v="6"/>
    <x v="12"/>
    <n v="86"/>
    <x v="1213"/>
    <x v="86"/>
    <d v="2025-03-31T00:00:00"/>
    <s v="F"/>
    <x v="2"/>
    <x v="2"/>
    <x v="0"/>
    <x v="22"/>
    <x v="2"/>
    <x v="12"/>
    <x v="2"/>
  </r>
  <r>
    <x v="2356"/>
    <x v="12"/>
    <x v="1"/>
    <n v="42.1"/>
    <x v="903"/>
    <x v="86"/>
    <d v="2025-03-29T00:00:00"/>
    <s v="F"/>
    <x v="4"/>
    <x v="1"/>
    <x v="0"/>
    <x v="34"/>
    <x v="3"/>
    <x v="12"/>
    <x v="2"/>
  </r>
  <r>
    <x v="2357"/>
    <x v="16"/>
    <x v="11"/>
    <n v="51.1"/>
    <x v="1742"/>
    <x v="86"/>
    <d v="2025-03-29T00:00:00"/>
    <s v="M"/>
    <x v="2"/>
    <x v="1"/>
    <x v="0"/>
    <x v="3"/>
    <x v="3"/>
    <x v="12"/>
    <x v="1"/>
  </r>
  <r>
    <x v="2358"/>
    <x v="9"/>
    <x v="12"/>
    <n v="73.8"/>
    <x v="1743"/>
    <x v="86"/>
    <d v="2025-03-29T00:00:00"/>
    <s v="M"/>
    <x v="4"/>
    <x v="0"/>
    <x v="0"/>
    <x v="3"/>
    <x v="3"/>
    <x v="12"/>
    <x v="1"/>
  </r>
  <r>
    <x v="2359"/>
    <x v="8"/>
    <x v="9"/>
    <n v="27"/>
    <x v="340"/>
    <x v="86"/>
    <d v="2025-03-31T00:00:00"/>
    <s v="F"/>
    <x v="2"/>
    <x v="2"/>
    <x v="0"/>
    <x v="3"/>
    <x v="2"/>
    <x v="12"/>
    <x v="2"/>
  </r>
  <r>
    <x v="2360"/>
    <x v="8"/>
    <x v="13"/>
    <n v="60.1"/>
    <x v="116"/>
    <x v="86"/>
    <d v="2025-03-29T00:00:00"/>
    <s v="M"/>
    <x v="3"/>
    <x v="0"/>
    <x v="0"/>
    <x v="3"/>
    <x v="3"/>
    <x v="12"/>
    <x v="1"/>
  </r>
  <r>
    <x v="2361"/>
    <x v="2"/>
    <x v="3"/>
    <n v="94.1"/>
    <x v="1744"/>
    <x v="86"/>
    <d v="2025-03-30T00:00:00"/>
    <s v="F"/>
    <x v="4"/>
    <x v="1"/>
    <x v="0"/>
    <x v="3"/>
    <x v="1"/>
    <x v="12"/>
    <x v="2"/>
  </r>
  <r>
    <x v="2362"/>
    <x v="2"/>
    <x v="1"/>
    <n v="124.1"/>
    <x v="1235"/>
    <x v="86"/>
    <d v="2025-03-28T00:00:00"/>
    <s v="F"/>
    <x v="2"/>
    <x v="3"/>
    <x v="0"/>
    <x v="43"/>
    <x v="7"/>
    <x v="12"/>
    <x v="2"/>
  </r>
  <r>
    <x v="2363"/>
    <x v="8"/>
    <x v="12"/>
    <n v="16.899999999999999"/>
    <x v="821"/>
    <x v="86"/>
    <d v="2025-03-31T00:00:00"/>
    <s v="M"/>
    <x v="3"/>
    <x v="0"/>
    <x v="0"/>
    <x v="6"/>
    <x v="2"/>
    <x v="12"/>
    <x v="1"/>
  </r>
  <r>
    <x v="2364"/>
    <x v="1"/>
    <x v="0"/>
    <n v="36.9"/>
    <x v="1745"/>
    <x v="86"/>
    <d v="2025-03-29T00:00:00"/>
    <s v="M"/>
    <x v="0"/>
    <x v="0"/>
    <x v="0"/>
    <x v="6"/>
    <x v="3"/>
    <x v="12"/>
    <x v="1"/>
  </r>
  <r>
    <x v="2365"/>
    <x v="9"/>
    <x v="1"/>
    <n v="22.6"/>
    <x v="705"/>
    <x v="86"/>
    <d v="2025-04-10T00:00:00"/>
    <s v="F"/>
    <x v="2"/>
    <x v="1"/>
    <x v="0"/>
    <x v="8"/>
    <x v="10"/>
    <x v="12"/>
    <x v="2"/>
  </r>
  <r>
    <x v="2366"/>
    <x v="7"/>
    <x v="12"/>
    <n v="35"/>
    <x v="1683"/>
    <x v="86"/>
    <d v="2025-04-02T00:00:00"/>
    <s v="M"/>
    <x v="3"/>
    <x v="1"/>
    <x v="0"/>
    <x v="8"/>
    <x v="0"/>
    <x v="12"/>
    <x v="1"/>
  </r>
  <r>
    <x v="2367"/>
    <x v="9"/>
    <x v="13"/>
    <n v="63.6"/>
    <x v="1746"/>
    <x v="86"/>
    <d v="2025-04-04T00:00:00"/>
    <s v=""/>
    <x v="1"/>
    <x v="2"/>
    <x v="0"/>
    <x v="8"/>
    <x v="6"/>
    <x v="12"/>
    <x v="0"/>
  </r>
  <r>
    <x v="2368"/>
    <x v="15"/>
    <x v="12"/>
    <n v="78.599999999999994"/>
    <x v="1747"/>
    <x v="86"/>
    <d v="2025-03-29T00:00:00"/>
    <s v="M"/>
    <x v="4"/>
    <x v="1"/>
    <x v="0"/>
    <x v="8"/>
    <x v="3"/>
    <x v="12"/>
    <x v="1"/>
  </r>
  <r>
    <x v="2369"/>
    <x v="3"/>
    <x v="1"/>
    <n v="38.5"/>
    <x v="445"/>
    <x v="86"/>
    <d v="2025-03-29T00:00:00"/>
    <s v="M"/>
    <x v="0"/>
    <x v="2"/>
    <x v="0"/>
    <x v="8"/>
    <x v="3"/>
    <x v="12"/>
    <x v="1"/>
  </r>
  <r>
    <x v="2370"/>
    <x v="8"/>
    <x v="5"/>
    <n v="71.5"/>
    <x v="1748"/>
    <x v="86"/>
    <d v="2025-03-29T00:00:00"/>
    <s v="F"/>
    <x v="1"/>
    <x v="4"/>
    <x v="0"/>
    <x v="8"/>
    <x v="3"/>
    <x v="12"/>
    <x v="2"/>
  </r>
  <r>
    <x v="2371"/>
    <x v="6"/>
    <x v="12"/>
    <n v="121.4"/>
    <x v="1749"/>
    <x v="86"/>
    <d v="2025-04-01T00:00:00"/>
    <s v="M"/>
    <x v="1"/>
    <x v="2"/>
    <x v="0"/>
    <x v="17"/>
    <x v="5"/>
    <x v="12"/>
    <x v="1"/>
  </r>
  <r>
    <x v="2372"/>
    <x v="11"/>
    <x v="0"/>
    <n v="40.200000000000003"/>
    <x v="282"/>
    <x v="86"/>
    <d v="2025-03-31T00:00:00"/>
    <s v="F"/>
    <x v="0"/>
    <x v="2"/>
    <x v="0"/>
    <x v="11"/>
    <x v="2"/>
    <x v="12"/>
    <x v="2"/>
  </r>
  <r>
    <x v="2373"/>
    <x v="5"/>
    <x v="9"/>
    <n v="31.9"/>
    <x v="1750"/>
    <x v="86"/>
    <d v="2025-03-30T00:00:00"/>
    <s v="F"/>
    <x v="2"/>
    <x v="2"/>
    <x v="0"/>
    <x v="28"/>
    <x v="1"/>
    <x v="12"/>
    <x v="2"/>
  </r>
  <r>
    <x v="2374"/>
    <x v="14"/>
    <x v="9"/>
    <n v="15.8"/>
    <x v="1751"/>
    <x v="87"/>
    <d v="2025-03-30T00:00:00"/>
    <s v="M"/>
    <x v="3"/>
    <x v="2"/>
    <x v="0"/>
    <x v="21"/>
    <x v="3"/>
    <x v="12"/>
    <x v="1"/>
  </r>
  <r>
    <x v="2375"/>
    <x v="10"/>
    <x v="1"/>
    <n v="25.1"/>
    <x v="486"/>
    <x v="87"/>
    <d v="2025-03-31T00:00:00"/>
    <s v=""/>
    <x v="1"/>
    <x v="0"/>
    <x v="0"/>
    <x v="21"/>
    <x v="1"/>
    <x v="12"/>
    <x v="0"/>
  </r>
  <r>
    <x v="2376"/>
    <x v="1"/>
    <x v="44"/>
    <n v="38.1"/>
    <x v="1752"/>
    <x v="87"/>
    <d v="2025-03-30T00:00:00"/>
    <s v="F"/>
    <x v="4"/>
    <x v="0"/>
    <x v="0"/>
    <x v="1"/>
    <x v="3"/>
    <x v="12"/>
    <x v="2"/>
  </r>
  <r>
    <x v="2377"/>
    <x v="3"/>
    <x v="1"/>
    <n v="42.2"/>
    <x v="533"/>
    <x v="87"/>
    <d v="2025-03-31T00:00:00"/>
    <s v="F"/>
    <x v="0"/>
    <x v="2"/>
    <x v="0"/>
    <x v="1"/>
    <x v="1"/>
    <x v="12"/>
    <x v="2"/>
  </r>
  <r>
    <x v="2378"/>
    <x v="0"/>
    <x v="7"/>
    <n v="12.3"/>
    <x v="1287"/>
    <x v="87"/>
    <d v="2025-03-30T00:00:00"/>
    <s v="F"/>
    <x v="4"/>
    <x v="0"/>
    <x v="0"/>
    <x v="2"/>
    <x v="3"/>
    <x v="12"/>
    <x v="2"/>
  </r>
  <r>
    <x v="2379"/>
    <x v="7"/>
    <x v="0"/>
    <n v="30.2"/>
    <x v="242"/>
    <x v="87"/>
    <d v="2025-03-31T00:00:00"/>
    <s v="F"/>
    <x v="1"/>
    <x v="2"/>
    <x v="0"/>
    <x v="34"/>
    <x v="1"/>
    <x v="12"/>
    <x v="2"/>
  </r>
  <r>
    <x v="2380"/>
    <x v="5"/>
    <x v="2"/>
    <n v="25.3"/>
    <x v="1554"/>
    <x v="87"/>
    <d v="2025-04-01T00:00:00"/>
    <s v="F"/>
    <x v="2"/>
    <x v="0"/>
    <x v="0"/>
    <x v="3"/>
    <x v="2"/>
    <x v="12"/>
    <x v="2"/>
  </r>
  <r>
    <x v="2381"/>
    <x v="8"/>
    <x v="9"/>
    <n v="29.7"/>
    <x v="1753"/>
    <x v="87"/>
    <d v="2025-03-31T00:00:00"/>
    <s v="M"/>
    <x v="3"/>
    <x v="0"/>
    <x v="0"/>
    <x v="3"/>
    <x v="1"/>
    <x v="12"/>
    <x v="1"/>
  </r>
  <r>
    <x v="2382"/>
    <x v="9"/>
    <x v="8"/>
    <n v="32.9"/>
    <x v="1754"/>
    <x v="87"/>
    <d v="2025-03-30T00:00:00"/>
    <s v=""/>
    <x v="3"/>
    <x v="2"/>
    <x v="0"/>
    <x v="3"/>
    <x v="3"/>
    <x v="12"/>
    <x v="0"/>
  </r>
  <r>
    <x v="2383"/>
    <x v="10"/>
    <x v="1"/>
    <n v="43.6"/>
    <x v="640"/>
    <x v="87"/>
    <d v="2025-03-30T00:00:00"/>
    <s v="M"/>
    <x v="1"/>
    <x v="2"/>
    <x v="0"/>
    <x v="3"/>
    <x v="3"/>
    <x v="12"/>
    <x v="1"/>
  </r>
  <r>
    <x v="2384"/>
    <x v="15"/>
    <x v="12"/>
    <n v="78.400000000000006"/>
    <x v="1755"/>
    <x v="87"/>
    <d v="2025-03-30T00:00:00"/>
    <s v="M"/>
    <x v="2"/>
    <x v="0"/>
    <x v="0"/>
    <x v="3"/>
    <x v="3"/>
    <x v="12"/>
    <x v="1"/>
  </r>
  <r>
    <x v="2385"/>
    <x v="6"/>
    <x v="1"/>
    <n v="56.5"/>
    <x v="548"/>
    <x v="87"/>
    <d v="2025-04-02T00:00:00"/>
    <s v="M"/>
    <x v="1"/>
    <x v="1"/>
    <x v="0"/>
    <x v="3"/>
    <x v="5"/>
    <x v="12"/>
    <x v="1"/>
  </r>
  <r>
    <x v="2386"/>
    <x v="16"/>
    <x v="0"/>
    <n v="36.700000000000003"/>
    <x v="329"/>
    <x v="87"/>
    <d v="2025-03-30T00:00:00"/>
    <s v="F"/>
    <x v="0"/>
    <x v="2"/>
    <x v="0"/>
    <x v="3"/>
    <x v="3"/>
    <x v="12"/>
    <x v="2"/>
  </r>
  <r>
    <x v="2387"/>
    <x v="2"/>
    <x v="12"/>
    <n v="103.6"/>
    <x v="1756"/>
    <x v="87"/>
    <d v="2025-04-09T00:00:00"/>
    <s v="M"/>
    <x v="4"/>
    <x v="2"/>
    <x v="0"/>
    <x v="3"/>
    <x v="11"/>
    <x v="12"/>
    <x v="1"/>
  </r>
  <r>
    <x v="2388"/>
    <x v="8"/>
    <x v="13"/>
    <n v="16.2"/>
    <x v="1757"/>
    <x v="87"/>
    <d v="2025-04-02T00:00:00"/>
    <s v="M"/>
    <x v="1"/>
    <x v="2"/>
    <x v="0"/>
    <x v="6"/>
    <x v="5"/>
    <x v="12"/>
    <x v="1"/>
  </r>
  <r>
    <x v="2389"/>
    <x v="8"/>
    <x v="1"/>
    <n v="20.2"/>
    <x v="1400"/>
    <x v="87"/>
    <d v="2025-03-30T00:00:00"/>
    <s v="F"/>
    <x v="0"/>
    <x v="0"/>
    <x v="0"/>
    <x v="6"/>
    <x v="3"/>
    <x v="12"/>
    <x v="2"/>
  </r>
  <r>
    <x v="2390"/>
    <x v="11"/>
    <x v="1"/>
    <n v="26.9"/>
    <x v="1758"/>
    <x v="87"/>
    <d v="2025-03-31T00:00:00"/>
    <s v="F"/>
    <x v="2"/>
    <x v="0"/>
    <x v="0"/>
    <x v="6"/>
    <x v="1"/>
    <x v="12"/>
    <x v="2"/>
  </r>
  <r>
    <x v="2391"/>
    <x v="1"/>
    <x v="1"/>
    <n v="82.4"/>
    <x v="1759"/>
    <x v="87"/>
    <d v="2025-04-01T00:00:00"/>
    <s v=""/>
    <x v="0"/>
    <x v="0"/>
    <x v="0"/>
    <x v="7"/>
    <x v="2"/>
    <x v="12"/>
    <x v="0"/>
  </r>
  <r>
    <x v="2392"/>
    <x v="2"/>
    <x v="1"/>
    <n v="117.8"/>
    <x v="1760"/>
    <x v="87"/>
    <d v="2025-03-31T00:00:00"/>
    <s v="M"/>
    <x v="1"/>
    <x v="2"/>
    <x v="0"/>
    <x v="8"/>
    <x v="1"/>
    <x v="12"/>
    <x v="1"/>
  </r>
  <r>
    <x v="2393"/>
    <x v="11"/>
    <x v="12"/>
    <n v="36.700000000000003"/>
    <x v="1761"/>
    <x v="87"/>
    <d v="2025-03-30T00:00:00"/>
    <s v="M"/>
    <x v="1"/>
    <x v="0"/>
    <x v="0"/>
    <x v="8"/>
    <x v="3"/>
    <x v="12"/>
    <x v="1"/>
  </r>
  <r>
    <x v="2394"/>
    <x v="17"/>
    <x v="2"/>
    <n v="46.8"/>
    <x v="1762"/>
    <x v="87"/>
    <d v="2025-03-30T00:00:00"/>
    <s v="M"/>
    <x v="4"/>
    <x v="2"/>
    <x v="0"/>
    <x v="10"/>
    <x v="3"/>
    <x v="12"/>
    <x v="1"/>
  </r>
  <r>
    <x v="2395"/>
    <x v="3"/>
    <x v="0"/>
    <n v="61.4"/>
    <x v="886"/>
    <x v="87"/>
    <d v="2025-03-30T00:00:00"/>
    <s v="M"/>
    <x v="1"/>
    <x v="0"/>
    <x v="0"/>
    <x v="10"/>
    <x v="3"/>
    <x v="12"/>
    <x v="1"/>
  </r>
  <r>
    <x v="2396"/>
    <x v="15"/>
    <x v="1"/>
    <n v="22.9"/>
    <x v="494"/>
    <x v="87"/>
    <d v="2025-03-30T00:00:00"/>
    <s v="M"/>
    <x v="0"/>
    <x v="0"/>
    <x v="0"/>
    <x v="11"/>
    <x v="3"/>
    <x v="12"/>
    <x v="1"/>
  </r>
  <r>
    <x v="2397"/>
    <x v="10"/>
    <x v="1"/>
    <n v="22.1"/>
    <x v="573"/>
    <x v="87"/>
    <d v="2025-03-30T00:00:00"/>
    <s v="F"/>
    <x v="4"/>
    <x v="0"/>
    <x v="0"/>
    <x v="11"/>
    <x v="3"/>
    <x v="12"/>
    <x v="2"/>
  </r>
  <r>
    <x v="2398"/>
    <x v="12"/>
    <x v="1"/>
    <n v="31"/>
    <x v="85"/>
    <x v="87"/>
    <d v="2025-03-31T00:00:00"/>
    <s v="F"/>
    <x v="2"/>
    <x v="0"/>
    <x v="0"/>
    <x v="18"/>
    <x v="1"/>
    <x v="12"/>
    <x v="2"/>
  </r>
  <r>
    <x v="2399"/>
    <x v="18"/>
    <x v="1"/>
    <n v="84.2"/>
    <x v="1763"/>
    <x v="87"/>
    <d v="2025-03-31T00:00:00"/>
    <s v="M"/>
    <x v="2"/>
    <x v="2"/>
    <x v="0"/>
    <x v="13"/>
    <x v="1"/>
    <x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1DC63-F06D-4734-99AD-474287EEF7E8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1:C25" firstHeaderRow="0" firstDataRow="1" firstDataCol="1"/>
  <pivotFields count="18">
    <pivotField showAll="0"/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Amount" fld="4" baseField="0" baseItem="0" numFmtId="165"/>
  </dataFields>
  <chartFormats count="2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431C1-F542-4537-BA46-7E9C9FDFFBF3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" firstHeaderRow="0" firstDataRow="1" firstDataCol="0"/>
  <pivotFields count="18">
    <pivotField dataField="1" showAll="0"/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TX ID" fld="0" subtotal="count" baseField="0" baseItem="0"/>
    <dataField name="Sum of Quantity" fld="2" baseField="0" baseItem="0"/>
    <dataField name="Sum of Amount" fld="4" baseField="0" baseItem="0"/>
    <dataField name="Average of Rating C" fld="9" subtotal="average" baseField="0" baseItem="0"/>
    <dataField name="Average of Days to Deliver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E3BB6-BADC-4026-AD96-DB8A3C7C4907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8">
    <pivotField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7B85B-357A-4002-A6D2-265CBAB7D1E0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18">
    <pivotField dataField="1"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4"/>
        <item x="3"/>
        <item x="5"/>
        <item n="More than 10"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X 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4E7E8-BD6C-49FB-A200-A8E8CA007400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K3:L8" firstHeaderRow="1" firstDataRow="1" firstDataCol="1"/>
  <pivotFields count="18">
    <pivotField showAll="0"/>
    <pivotField showAll="0" sortType="de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2" baseField="0" baseItem="0"/>
  </dataField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2C324-6CE7-4CA3-A291-342E5D939B92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25" firstHeaderRow="1" firstDataRow="2" firstDataCol="1"/>
  <pivotFields count="18">
    <pivotField showAll="0"/>
    <pivotField axis="axisRow" showAll="0" sortType="de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1">
    <i>
      <x v="18"/>
    </i>
    <i>
      <x v="6"/>
    </i>
    <i>
      <x v="13"/>
    </i>
    <i>
      <x v="16"/>
    </i>
    <i>
      <x v="1"/>
    </i>
    <i>
      <x v="12"/>
    </i>
    <i>
      <x v="14"/>
    </i>
    <i>
      <x v="4"/>
    </i>
    <i>
      <x v="5"/>
    </i>
    <i>
      <x v="11"/>
    </i>
    <i>
      <x v="3"/>
    </i>
    <i>
      <x v="8"/>
    </i>
    <i>
      <x v="2"/>
    </i>
    <i>
      <x v="19"/>
    </i>
    <i>
      <x v="10"/>
    </i>
    <i>
      <x v="9"/>
    </i>
    <i>
      <x v="15"/>
    </i>
    <i>
      <x v="17"/>
    </i>
    <i>
      <x/>
    </i>
    <i>
      <x v="7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2" baseField="0" baseItem="0"/>
  </dataFields>
  <chartFormats count="4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3C365-D25C-41F4-9A0E-8EEB791C4F5C}" name="PivotTable10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9" firstHeaderRow="1" firstDataRow="1" firstDataCol="1"/>
  <pivotFields count="18">
    <pivotField dataField="1"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/>
    <pivotField showAll="0"/>
    <pivotField showAll="0"/>
    <pivotField showAll="0"/>
    <pivotField axis="axisRow"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showAll="0"/>
    <pivotField showAl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TX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1EC6B-4C69-454F-9B67-3355CB1BE46A}" name="PivotTable1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G8" firstHeaderRow="1" firstDataRow="2" firstDataCol="1"/>
  <pivotFields count="18">
    <pivotField dataField="1"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/>
    <pivotField axis="axisCol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7"/>
  </rowFields>
  <rowItems count="4">
    <i>
      <x v="1"/>
    </i>
    <i>
      <x v="2"/>
    </i>
    <i>
      <x v="3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X ID" fld="0" subtotal="count" baseField="0" baseItem="0"/>
  </dataFields>
  <chartFormats count="1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chandoo.org/wp/excel-school-program/" TargetMode="External"/><Relationship Id="rId1" Type="http://schemas.openxmlformats.org/officeDocument/2006/relationships/hyperlink" Target="https://youtu.be/l5qkg8gzY6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0366-27A5-4A52-BEE7-C08EED6DABF3}">
  <dimension ref="A1"/>
  <sheetViews>
    <sheetView tabSelected="1" zoomScale="55" zoomScaleNormal="55" workbookViewId="0">
      <selection activeCell="AC15" sqref="AC15"/>
    </sheetView>
  </sheetViews>
  <sheetFormatPr defaultRowHeight="14.5" x14ac:dyDescent="0.35"/>
  <cols>
    <col min="1" max="1" width="2.81640625" customWidth="1"/>
    <col min="2" max="2" width="19.90625" customWidth="1"/>
    <col min="3" max="3" width="2.81640625" customWidth="1"/>
  </cols>
  <sheetData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4C97-AFD1-4A9C-9C49-1116AA86FA17}">
  <dimension ref="A2:K25"/>
  <sheetViews>
    <sheetView workbookViewId="0">
      <selection activeCell="C12" sqref="C12"/>
    </sheetView>
  </sheetViews>
  <sheetFormatPr defaultRowHeight="14.5" x14ac:dyDescent="0.35"/>
  <cols>
    <col min="1" max="1" width="12.453125" bestFit="1" customWidth="1"/>
    <col min="2" max="2" width="14.26953125" bestFit="1" customWidth="1"/>
    <col min="3" max="3" width="13.6328125" bestFit="1" customWidth="1"/>
    <col min="4" max="4" width="16.81640625" bestFit="1" customWidth="1"/>
    <col min="5" max="5" width="22.36328125" bestFit="1" customWidth="1"/>
    <col min="10" max="10" width="10.08984375" customWidth="1"/>
  </cols>
  <sheetData>
    <row r="2" spans="1:11" x14ac:dyDescent="0.35">
      <c r="G2" t="s">
        <v>2559</v>
      </c>
    </row>
    <row r="3" spans="1:11" x14ac:dyDescent="0.35">
      <c r="A3" t="s">
        <v>2552</v>
      </c>
      <c r="B3" t="s">
        <v>2553</v>
      </c>
      <c r="C3" t="s">
        <v>2554</v>
      </c>
      <c r="D3" t="s">
        <v>2557</v>
      </c>
      <c r="E3" t="s">
        <v>2558</v>
      </c>
      <c r="G3" t="s">
        <v>2538</v>
      </c>
      <c r="H3" t="s">
        <v>2560</v>
      </c>
      <c r="I3" t="s">
        <v>4</v>
      </c>
      <c r="J3" t="s">
        <v>2507</v>
      </c>
      <c r="K3" t="s">
        <v>2561</v>
      </c>
    </row>
    <row r="4" spans="1:11" x14ac:dyDescent="0.35">
      <c r="A4" s="12">
        <v>2400</v>
      </c>
      <c r="B4" s="12">
        <v>11997</v>
      </c>
      <c r="C4" s="12">
        <v>649019.80000000144</v>
      </c>
      <c r="D4" s="12">
        <v>3.9620833333333332</v>
      </c>
      <c r="E4" s="12">
        <v>2.3424999999999998</v>
      </c>
      <c r="G4" t="str">
        <f>TEXT(A4,"#,##")</f>
        <v>2,400</v>
      </c>
      <c r="H4" t="str">
        <f t="shared" ref="H4:K4" si="0">TEXT(B4,"#,##")</f>
        <v>11,997</v>
      </c>
      <c r="I4" t="str">
        <f>TEXT(C4,"$#,##,.0k")</f>
        <v>$649.0k</v>
      </c>
      <c r="J4" t="str">
        <f>TEXT(D4,"0.0")</f>
        <v>4.0</v>
      </c>
      <c r="K4" t="str">
        <f>TEXT(E4,"0.0")</f>
        <v>2.3</v>
      </c>
    </row>
    <row r="11" spans="1:11" x14ac:dyDescent="0.35">
      <c r="A11" s="13" t="s">
        <v>2555</v>
      </c>
      <c r="B11" t="s">
        <v>2553</v>
      </c>
      <c r="C11" t="s">
        <v>2554</v>
      </c>
    </row>
    <row r="12" spans="1:11" x14ac:dyDescent="0.35">
      <c r="A12" s="14">
        <v>1</v>
      </c>
      <c r="B12" s="12">
        <v>546</v>
      </c>
      <c r="C12" s="15">
        <v>32413.300000000003</v>
      </c>
    </row>
    <row r="13" spans="1:11" x14ac:dyDescent="0.35">
      <c r="A13" s="14">
        <v>2</v>
      </c>
      <c r="B13" s="12">
        <v>905</v>
      </c>
      <c r="C13" s="15">
        <v>49562.999999999993</v>
      </c>
    </row>
    <row r="14" spans="1:11" x14ac:dyDescent="0.35">
      <c r="A14" s="14">
        <v>3</v>
      </c>
      <c r="B14" s="12">
        <v>796</v>
      </c>
      <c r="C14" s="15">
        <v>41700.400000000016</v>
      </c>
    </row>
    <row r="15" spans="1:11" x14ac:dyDescent="0.35">
      <c r="A15" s="14">
        <v>4</v>
      </c>
      <c r="B15" s="12">
        <v>913</v>
      </c>
      <c r="C15" s="15">
        <v>46782.599999999984</v>
      </c>
    </row>
    <row r="16" spans="1:11" x14ac:dyDescent="0.35">
      <c r="A16" s="14">
        <v>5</v>
      </c>
      <c r="B16" s="12">
        <v>844</v>
      </c>
      <c r="C16" s="15">
        <v>42676.100000000006</v>
      </c>
    </row>
    <row r="17" spans="1:3" x14ac:dyDescent="0.35">
      <c r="A17" s="14">
        <v>6</v>
      </c>
      <c r="B17" s="12">
        <v>1202</v>
      </c>
      <c r="C17" s="15">
        <v>62910.7</v>
      </c>
    </row>
    <row r="18" spans="1:3" x14ac:dyDescent="0.35">
      <c r="A18" s="14">
        <v>7</v>
      </c>
      <c r="B18" s="12">
        <v>935</v>
      </c>
      <c r="C18" s="15">
        <v>50332.200000000004</v>
      </c>
    </row>
    <row r="19" spans="1:3" x14ac:dyDescent="0.35">
      <c r="A19" s="14">
        <v>8</v>
      </c>
      <c r="B19" s="12">
        <v>1128</v>
      </c>
      <c r="C19" s="15">
        <v>58760.599999999977</v>
      </c>
    </row>
    <row r="20" spans="1:3" x14ac:dyDescent="0.35">
      <c r="A20" s="14">
        <v>9</v>
      </c>
      <c r="B20" s="12">
        <v>1007</v>
      </c>
      <c r="C20" s="15">
        <v>52017.299999999996</v>
      </c>
    </row>
    <row r="21" spans="1:3" x14ac:dyDescent="0.35">
      <c r="A21" s="14">
        <v>10</v>
      </c>
      <c r="B21" s="12">
        <v>1128</v>
      </c>
      <c r="C21" s="15">
        <v>64915.700000000033</v>
      </c>
    </row>
    <row r="22" spans="1:3" x14ac:dyDescent="0.35">
      <c r="A22" s="14">
        <v>11</v>
      </c>
      <c r="B22" s="12">
        <v>861</v>
      </c>
      <c r="C22" s="15">
        <v>45943.80000000001</v>
      </c>
    </row>
    <row r="23" spans="1:3" x14ac:dyDescent="0.35">
      <c r="A23" s="14">
        <v>12</v>
      </c>
      <c r="B23" s="12">
        <v>944</v>
      </c>
      <c r="C23" s="15">
        <v>55077.900000000031</v>
      </c>
    </row>
    <row r="24" spans="1:3" x14ac:dyDescent="0.35">
      <c r="A24" s="14">
        <v>13</v>
      </c>
      <c r="B24" s="12">
        <v>788</v>
      </c>
      <c r="C24" s="15">
        <v>45926.19999999999</v>
      </c>
    </row>
    <row r="25" spans="1:3" x14ac:dyDescent="0.35">
      <c r="A25" s="14" t="s">
        <v>2556</v>
      </c>
      <c r="B25" s="12">
        <v>11997</v>
      </c>
      <c r="C25" s="15">
        <v>649019.79999999993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1060-480F-4398-AA32-236ED2B6A357}">
  <dimension ref="A2:L10"/>
  <sheetViews>
    <sheetView workbookViewId="0">
      <selection activeCell="H4" sqref="H4:L9"/>
    </sheetView>
  </sheetViews>
  <sheetFormatPr defaultRowHeight="14.5" x14ac:dyDescent="0.35"/>
  <cols>
    <col min="1" max="1" width="13.6328125" bestFit="1" customWidth="1"/>
    <col min="2" max="2" width="15.6328125" bestFit="1" customWidth="1"/>
    <col min="3" max="3" width="6.90625" bestFit="1" customWidth="1"/>
    <col min="4" max="4" width="5.90625" bestFit="1" customWidth="1"/>
    <col min="5" max="5" width="8.7265625" bestFit="1" customWidth="1"/>
    <col min="6" max="6" width="10.36328125" bestFit="1" customWidth="1"/>
    <col min="8" max="8" width="11.6328125" customWidth="1"/>
    <col min="9" max="9" width="11.26953125" customWidth="1"/>
    <col min="10" max="10" width="11.1796875" customWidth="1"/>
    <col min="11" max="11" width="11.36328125" customWidth="1"/>
    <col min="12" max="12" width="11.54296875" customWidth="1"/>
  </cols>
  <sheetData>
    <row r="2" spans="1:12" x14ac:dyDescent="0.35">
      <c r="H2" t="s">
        <v>2567</v>
      </c>
    </row>
    <row r="3" spans="1:12" x14ac:dyDescent="0.35">
      <c r="A3" s="13" t="s">
        <v>2554</v>
      </c>
      <c r="B3" s="13" t="s">
        <v>2562</v>
      </c>
    </row>
    <row r="4" spans="1:12" x14ac:dyDescent="0.35">
      <c r="A4" s="13" t="s">
        <v>2555</v>
      </c>
      <c r="B4" t="s">
        <v>2563</v>
      </c>
      <c r="C4" t="s">
        <v>2564</v>
      </c>
      <c r="D4" t="s">
        <v>2565</v>
      </c>
      <c r="E4" t="s">
        <v>2566</v>
      </c>
      <c r="F4" t="s">
        <v>2556</v>
      </c>
      <c r="H4" s="17"/>
      <c r="I4" s="17" t="str">
        <f>B4</f>
        <v>Female</v>
      </c>
      <c r="J4" s="17" t="str">
        <f t="shared" ref="J4:M4" si="0">C4</f>
        <v>Male</v>
      </c>
      <c r="K4" s="17" t="str">
        <f t="shared" si="0"/>
        <v>Other</v>
      </c>
      <c r="L4" s="17" t="str">
        <f t="shared" si="0"/>
        <v>Unknown</v>
      </c>
    </row>
    <row r="5" spans="1:12" ht="26" customHeight="1" x14ac:dyDescent="0.35">
      <c r="A5" s="14" t="s">
        <v>18</v>
      </c>
      <c r="B5" s="16">
        <v>0.18961825201634841</v>
      </c>
      <c r="C5" s="16">
        <v>0.12262322351336576</v>
      </c>
      <c r="D5" s="16">
        <v>1.060537752469185E-2</v>
      </c>
      <c r="E5" s="16">
        <v>3.0599220547662797E-2</v>
      </c>
      <c r="F5" s="16">
        <v>0.35344607360206881</v>
      </c>
      <c r="H5" s="17" t="str">
        <f>A5</f>
        <v>App</v>
      </c>
      <c r="I5" s="18">
        <f>B5</f>
        <v>0.18961825201634841</v>
      </c>
      <c r="J5" s="18">
        <f t="shared" ref="I5:M9" si="1">C5</f>
        <v>0.12262322351336576</v>
      </c>
      <c r="K5" s="18">
        <f t="shared" si="1"/>
        <v>1.060537752469185E-2</v>
      </c>
      <c r="L5" s="18">
        <f t="shared" si="1"/>
        <v>3.0599220547662797E-2</v>
      </c>
    </row>
    <row r="6" spans="1:12" ht="23" customHeight="1" x14ac:dyDescent="0.35">
      <c r="A6" s="14" t="s">
        <v>51</v>
      </c>
      <c r="B6" s="16">
        <v>5.0283982091147303E-2</v>
      </c>
      <c r="C6" s="16">
        <v>4.3060781812819873E-2</v>
      </c>
      <c r="D6" s="16">
        <v>1.5320025675641944E-3</v>
      </c>
      <c r="E6" s="16">
        <v>1.7794988689097006E-2</v>
      </c>
      <c r="F6" s="16">
        <v>0.11267175516062837</v>
      </c>
      <c r="H6" s="17" t="str">
        <f t="shared" ref="H6:H9" si="2">A6</f>
        <v>Instagram</v>
      </c>
      <c r="I6" s="18">
        <f t="shared" si="1"/>
        <v>5.0283982091147303E-2</v>
      </c>
      <c r="J6" s="18">
        <f t="shared" si="1"/>
        <v>4.3060781812819873E-2</v>
      </c>
      <c r="K6" s="18">
        <f t="shared" si="1"/>
        <v>1.5320025675641944E-3</v>
      </c>
      <c r="L6" s="18">
        <f t="shared" si="1"/>
        <v>1.7794988689097006E-2</v>
      </c>
    </row>
    <row r="7" spans="1:12" ht="22.5" customHeight="1" x14ac:dyDescent="0.35">
      <c r="A7" s="14" t="s">
        <v>70</v>
      </c>
      <c r="B7" s="16">
        <v>6.3496059750411282E-2</v>
      </c>
      <c r="C7" s="16">
        <v>4.6071629863988765E-2</v>
      </c>
      <c r="D7" s="16">
        <v>2.306247051322625E-3</v>
      </c>
      <c r="E7" s="16">
        <v>3.8927934093844286E-3</v>
      </c>
      <c r="F7" s="16">
        <v>0.11576673007510711</v>
      </c>
      <c r="H7" s="17" t="str">
        <f t="shared" si="2"/>
        <v>Partner App</v>
      </c>
      <c r="I7" s="18">
        <f t="shared" si="1"/>
        <v>6.3496059750411282E-2</v>
      </c>
      <c r="J7" s="18">
        <f t="shared" si="1"/>
        <v>4.6071629863988765E-2</v>
      </c>
      <c r="K7" s="18">
        <f t="shared" si="1"/>
        <v>2.306247051322625E-3</v>
      </c>
      <c r="L7" s="18">
        <f t="shared" si="1"/>
        <v>3.8927934093844286E-3</v>
      </c>
    </row>
    <row r="8" spans="1:12" ht="26.5" customHeight="1" x14ac:dyDescent="0.35">
      <c r="A8" s="14" t="s">
        <v>40</v>
      </c>
      <c r="B8" s="16">
        <v>9.6337892927149532E-2</v>
      </c>
      <c r="C8" s="16">
        <v>6.7920115842382611E-2</v>
      </c>
      <c r="D8" s="16">
        <v>5.4979832664581261E-3</v>
      </c>
      <c r="E8" s="16">
        <v>1.2933041488102518E-2</v>
      </c>
      <c r="F8" s="16">
        <v>0.1826890335240928</v>
      </c>
      <c r="H8" s="17" t="str">
        <f t="shared" si="2"/>
        <v>Target.com</v>
      </c>
      <c r="I8" s="18">
        <f t="shared" si="1"/>
        <v>9.6337892927149532E-2</v>
      </c>
      <c r="J8" s="18">
        <f t="shared" si="1"/>
        <v>6.7920115842382611E-2</v>
      </c>
      <c r="K8" s="18">
        <f t="shared" si="1"/>
        <v>5.4979832664581261E-3</v>
      </c>
      <c r="L8" s="18">
        <f t="shared" si="1"/>
        <v>1.2933041488102518E-2</v>
      </c>
    </row>
    <row r="9" spans="1:12" ht="22.5" customHeight="1" x14ac:dyDescent="0.35">
      <c r="A9" s="14" t="s">
        <v>35</v>
      </c>
      <c r="B9" s="16">
        <v>0.12522098709469262</v>
      </c>
      <c r="C9" s="16">
        <v>9.1492740283116228E-2</v>
      </c>
      <c r="D9" s="16">
        <v>6.3042760790965081E-3</v>
      </c>
      <c r="E9" s="16">
        <v>1.2408404181197551E-2</v>
      </c>
      <c r="F9" s="16">
        <v>0.23542640763810288</v>
      </c>
      <c r="H9" s="17" t="str">
        <f t="shared" si="2"/>
        <v>Website</v>
      </c>
      <c r="I9" s="18">
        <f t="shared" si="1"/>
        <v>0.12522098709469262</v>
      </c>
      <c r="J9" s="18">
        <f t="shared" si="1"/>
        <v>9.1492740283116228E-2</v>
      </c>
      <c r="K9" s="18">
        <f t="shared" si="1"/>
        <v>6.3042760790965081E-3</v>
      </c>
      <c r="L9" s="18">
        <f t="shared" si="1"/>
        <v>1.2408404181197551E-2</v>
      </c>
    </row>
    <row r="10" spans="1:12" x14ac:dyDescent="0.35">
      <c r="A10" s="14" t="s">
        <v>2556</v>
      </c>
      <c r="B10" s="16">
        <v>0.52495717387974916</v>
      </c>
      <c r="C10" s="16">
        <v>0.3711684913156732</v>
      </c>
      <c r="D10" s="16">
        <v>2.6245886489133303E-2</v>
      </c>
      <c r="E10" s="16">
        <v>7.7628448315444312E-2</v>
      </c>
      <c r="F10" s="16">
        <v>1</v>
      </c>
    </row>
  </sheetData>
  <conditionalFormatting sqref="I5:L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3A30-BBE0-4B98-B87A-5603F45F39FE}">
  <dimension ref="A3:B11"/>
  <sheetViews>
    <sheetView workbookViewId="0">
      <selection activeCell="A3" sqref="A3"/>
    </sheetView>
  </sheetViews>
  <sheetFormatPr defaultRowHeight="14.5" x14ac:dyDescent="0.35"/>
  <cols>
    <col min="1" max="2" width="12.453125" bestFit="1" customWidth="1"/>
  </cols>
  <sheetData>
    <row r="3" spans="1:2" x14ac:dyDescent="0.35">
      <c r="A3" s="13" t="s">
        <v>2555</v>
      </c>
      <c r="B3" t="s">
        <v>2552</v>
      </c>
    </row>
    <row r="4" spans="1:2" x14ac:dyDescent="0.35">
      <c r="A4" s="14">
        <v>1</v>
      </c>
      <c r="B4" s="12">
        <v>397</v>
      </c>
    </row>
    <row r="5" spans="1:2" x14ac:dyDescent="0.35">
      <c r="A5" s="14">
        <v>2</v>
      </c>
      <c r="B5" s="12">
        <v>540</v>
      </c>
    </row>
    <row r="6" spans="1:2" x14ac:dyDescent="0.35">
      <c r="A6" s="14">
        <v>3</v>
      </c>
      <c r="B6" s="12">
        <v>375</v>
      </c>
    </row>
    <row r="7" spans="1:2" x14ac:dyDescent="0.35">
      <c r="A7" s="14">
        <v>4</v>
      </c>
      <c r="B7" s="12">
        <v>246</v>
      </c>
    </row>
    <row r="8" spans="1:2" x14ac:dyDescent="0.35">
      <c r="A8" s="14">
        <v>5</v>
      </c>
      <c r="B8" s="12">
        <v>195</v>
      </c>
    </row>
    <row r="9" spans="1:2" x14ac:dyDescent="0.35">
      <c r="A9" s="14" t="s">
        <v>2568</v>
      </c>
      <c r="B9" s="12">
        <v>414</v>
      </c>
    </row>
    <row r="10" spans="1:2" x14ac:dyDescent="0.35">
      <c r="A10" s="14" t="s">
        <v>2569</v>
      </c>
      <c r="B10" s="12">
        <v>233</v>
      </c>
    </row>
    <row r="11" spans="1:2" x14ac:dyDescent="0.35">
      <c r="A11" s="14" t="s">
        <v>2556</v>
      </c>
      <c r="B11" s="12">
        <v>2400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1AE7-DB1C-451A-AF6B-F98FE5F6CCC5}">
  <dimension ref="A3:L25"/>
  <sheetViews>
    <sheetView workbookViewId="0">
      <selection activeCell="K3" sqref="K3"/>
    </sheetView>
  </sheetViews>
  <sheetFormatPr defaultRowHeight="14.5" x14ac:dyDescent="0.35"/>
  <cols>
    <col min="1" max="1" width="19.6328125" bestFit="1" customWidth="1"/>
    <col min="2" max="2" width="15.6328125" bestFit="1" customWidth="1"/>
    <col min="3" max="3" width="4.81640625" bestFit="1" customWidth="1"/>
    <col min="4" max="4" width="5.453125" bestFit="1" customWidth="1"/>
    <col min="6" max="6" width="10.36328125" bestFit="1" customWidth="1"/>
    <col min="11" max="11" width="12.453125" bestFit="1" customWidth="1"/>
    <col min="12" max="12" width="14.26953125" bestFit="1" customWidth="1"/>
    <col min="13" max="13" width="4.81640625" bestFit="1" customWidth="1"/>
    <col min="14" max="14" width="5.453125" bestFit="1" customWidth="1"/>
    <col min="16" max="16" width="10.36328125" bestFit="1" customWidth="1"/>
  </cols>
  <sheetData>
    <row r="3" spans="1:12" x14ac:dyDescent="0.35">
      <c r="A3" s="13" t="s">
        <v>2553</v>
      </c>
      <c r="B3" s="13" t="s">
        <v>2562</v>
      </c>
      <c r="K3" s="13" t="s">
        <v>2555</v>
      </c>
      <c r="L3" t="s">
        <v>2553</v>
      </c>
    </row>
    <row r="4" spans="1:12" x14ac:dyDescent="0.35">
      <c r="A4" s="13" t="s">
        <v>2555</v>
      </c>
      <c r="B4" t="s">
        <v>2563</v>
      </c>
      <c r="C4" t="s">
        <v>2564</v>
      </c>
      <c r="D4" t="s">
        <v>2565</v>
      </c>
      <c r="E4" t="s">
        <v>2566</v>
      </c>
      <c r="F4" t="s">
        <v>2556</v>
      </c>
      <c r="K4" s="14" t="s">
        <v>2563</v>
      </c>
      <c r="L4" s="12">
        <v>6272</v>
      </c>
    </row>
    <row r="5" spans="1:12" x14ac:dyDescent="0.35">
      <c r="A5" s="14" t="s">
        <v>44</v>
      </c>
      <c r="B5" s="12">
        <v>744</v>
      </c>
      <c r="C5" s="12">
        <v>713</v>
      </c>
      <c r="D5" s="12">
        <v>90</v>
      </c>
      <c r="E5" s="12">
        <v>98</v>
      </c>
      <c r="F5" s="12">
        <v>1645</v>
      </c>
      <c r="K5" s="14" t="s">
        <v>2564</v>
      </c>
      <c r="L5" s="12">
        <v>4672</v>
      </c>
    </row>
    <row r="6" spans="1:12" x14ac:dyDescent="0.35">
      <c r="A6" s="14" t="s">
        <v>39</v>
      </c>
      <c r="B6" s="12">
        <v>716</v>
      </c>
      <c r="C6" s="12">
        <v>598</v>
      </c>
      <c r="D6" s="12">
        <v>18</v>
      </c>
      <c r="E6" s="12">
        <v>214</v>
      </c>
      <c r="F6" s="12">
        <v>1546</v>
      </c>
      <c r="K6" s="14" t="s">
        <v>2565</v>
      </c>
      <c r="L6" s="12">
        <v>317</v>
      </c>
    </row>
    <row r="7" spans="1:12" x14ac:dyDescent="0.35">
      <c r="A7" s="14" t="s">
        <v>26</v>
      </c>
      <c r="B7" s="12">
        <v>627</v>
      </c>
      <c r="C7" s="12">
        <v>393</v>
      </c>
      <c r="D7" s="12">
        <v>29</v>
      </c>
      <c r="E7" s="12">
        <v>137</v>
      </c>
      <c r="F7" s="12">
        <v>1186</v>
      </c>
      <c r="K7" s="14" t="s">
        <v>2566</v>
      </c>
      <c r="L7" s="12">
        <v>736</v>
      </c>
    </row>
    <row r="8" spans="1:12" x14ac:dyDescent="0.35">
      <c r="A8" s="14" t="s">
        <v>22</v>
      </c>
      <c r="B8" s="12">
        <v>568</v>
      </c>
      <c r="C8" s="12">
        <v>306</v>
      </c>
      <c r="D8" s="12">
        <v>22</v>
      </c>
      <c r="E8" s="12">
        <v>16</v>
      </c>
      <c r="F8" s="12">
        <v>912</v>
      </c>
      <c r="K8" s="14" t="s">
        <v>2556</v>
      </c>
      <c r="L8" s="12">
        <v>11997</v>
      </c>
    </row>
    <row r="9" spans="1:12" x14ac:dyDescent="0.35">
      <c r="A9" s="14" t="s">
        <v>54</v>
      </c>
      <c r="B9" s="12">
        <v>482</v>
      </c>
      <c r="C9" s="12">
        <v>295</v>
      </c>
      <c r="D9" s="12">
        <v>8</v>
      </c>
      <c r="E9" s="12">
        <v>22</v>
      </c>
      <c r="F9" s="12">
        <v>807</v>
      </c>
    </row>
    <row r="10" spans="1:12" x14ac:dyDescent="0.35">
      <c r="A10" s="14" t="s">
        <v>16</v>
      </c>
      <c r="B10" s="12">
        <v>428</v>
      </c>
      <c r="C10" s="12">
        <v>293</v>
      </c>
      <c r="D10" s="12"/>
      <c r="E10" s="12">
        <v>24</v>
      </c>
      <c r="F10" s="12">
        <v>745</v>
      </c>
    </row>
    <row r="11" spans="1:12" x14ac:dyDescent="0.35">
      <c r="A11" s="14" t="s">
        <v>46</v>
      </c>
      <c r="B11" s="12">
        <v>445</v>
      </c>
      <c r="C11" s="12">
        <v>202</v>
      </c>
      <c r="D11" s="12">
        <v>14</v>
      </c>
      <c r="E11" s="12">
        <v>39</v>
      </c>
      <c r="F11" s="12">
        <v>700</v>
      </c>
    </row>
    <row r="12" spans="1:12" x14ac:dyDescent="0.35">
      <c r="A12" s="14" t="s">
        <v>32</v>
      </c>
      <c r="B12" s="12">
        <v>431</v>
      </c>
      <c r="C12" s="12">
        <v>187</v>
      </c>
      <c r="D12" s="12">
        <v>14</v>
      </c>
      <c r="E12" s="12">
        <v>15</v>
      </c>
      <c r="F12" s="12">
        <v>647</v>
      </c>
    </row>
    <row r="13" spans="1:12" x14ac:dyDescent="0.35">
      <c r="A13" s="14" t="s">
        <v>42</v>
      </c>
      <c r="B13" s="12">
        <v>264</v>
      </c>
      <c r="C13" s="12">
        <v>318</v>
      </c>
      <c r="D13" s="12">
        <v>15</v>
      </c>
      <c r="E13" s="12">
        <v>9</v>
      </c>
      <c r="F13" s="12">
        <v>606</v>
      </c>
    </row>
    <row r="14" spans="1:12" x14ac:dyDescent="0.35">
      <c r="A14" s="14" t="s">
        <v>37</v>
      </c>
      <c r="B14" s="12">
        <v>296</v>
      </c>
      <c r="C14" s="12">
        <v>275</v>
      </c>
      <c r="D14" s="12">
        <v>9</v>
      </c>
      <c r="E14" s="12">
        <v>23</v>
      </c>
      <c r="F14" s="12">
        <v>603</v>
      </c>
    </row>
    <row r="15" spans="1:12" x14ac:dyDescent="0.35">
      <c r="A15" s="14" t="s">
        <v>123</v>
      </c>
      <c r="B15" s="12">
        <v>153</v>
      </c>
      <c r="C15" s="12">
        <v>246</v>
      </c>
      <c r="D15" s="12">
        <v>30</v>
      </c>
      <c r="E15" s="12">
        <v>8</v>
      </c>
      <c r="F15" s="12">
        <v>437</v>
      </c>
    </row>
    <row r="16" spans="1:12" x14ac:dyDescent="0.35">
      <c r="A16" s="14" t="s">
        <v>146</v>
      </c>
      <c r="B16" s="12">
        <v>189</v>
      </c>
      <c r="C16" s="12">
        <v>168</v>
      </c>
      <c r="D16" s="12">
        <v>10</v>
      </c>
      <c r="E16" s="12">
        <v>31</v>
      </c>
      <c r="F16" s="12">
        <v>398</v>
      </c>
    </row>
    <row r="17" spans="1:6" x14ac:dyDescent="0.35">
      <c r="A17" s="14" t="s">
        <v>69</v>
      </c>
      <c r="B17" s="12">
        <v>234</v>
      </c>
      <c r="C17" s="12">
        <v>93</v>
      </c>
      <c r="D17" s="12">
        <v>19</v>
      </c>
      <c r="E17" s="12">
        <v>24</v>
      </c>
      <c r="F17" s="12">
        <v>370</v>
      </c>
    </row>
    <row r="18" spans="1:6" x14ac:dyDescent="0.35">
      <c r="A18" s="14" t="s">
        <v>30</v>
      </c>
      <c r="B18" s="12">
        <v>146</v>
      </c>
      <c r="C18" s="12">
        <v>94</v>
      </c>
      <c r="D18" s="12">
        <v>4</v>
      </c>
      <c r="E18" s="12">
        <v>28</v>
      </c>
      <c r="F18" s="12">
        <v>272</v>
      </c>
    </row>
    <row r="19" spans="1:6" x14ac:dyDescent="0.35">
      <c r="A19" s="14" t="s">
        <v>135</v>
      </c>
      <c r="B19" s="12">
        <v>127</v>
      </c>
      <c r="C19" s="12">
        <v>118</v>
      </c>
      <c r="D19" s="12">
        <v>13</v>
      </c>
      <c r="E19" s="12">
        <v>12</v>
      </c>
      <c r="F19" s="12">
        <v>270</v>
      </c>
    </row>
    <row r="20" spans="1:6" x14ac:dyDescent="0.35">
      <c r="A20" s="14" t="s">
        <v>67</v>
      </c>
      <c r="B20" s="12">
        <v>179</v>
      </c>
      <c r="C20" s="12">
        <v>76</v>
      </c>
      <c r="D20" s="12">
        <v>3</v>
      </c>
      <c r="E20" s="12"/>
      <c r="F20" s="12">
        <v>258</v>
      </c>
    </row>
    <row r="21" spans="1:6" x14ac:dyDescent="0.35">
      <c r="A21" s="14" t="s">
        <v>128</v>
      </c>
      <c r="B21" s="12">
        <v>99</v>
      </c>
      <c r="C21" s="12">
        <v>69</v>
      </c>
      <c r="D21" s="12">
        <v>3</v>
      </c>
      <c r="E21" s="12">
        <v>24</v>
      </c>
      <c r="F21" s="12">
        <v>195</v>
      </c>
    </row>
    <row r="22" spans="1:6" x14ac:dyDescent="0.35">
      <c r="A22" s="14" t="s">
        <v>76</v>
      </c>
      <c r="B22" s="12">
        <v>75</v>
      </c>
      <c r="C22" s="12">
        <v>103</v>
      </c>
      <c r="D22" s="12">
        <v>4</v>
      </c>
      <c r="E22" s="12">
        <v>6</v>
      </c>
      <c r="F22" s="12">
        <v>188</v>
      </c>
    </row>
    <row r="23" spans="1:6" x14ac:dyDescent="0.35">
      <c r="A23" s="14" t="s">
        <v>81</v>
      </c>
      <c r="B23" s="12">
        <v>43</v>
      </c>
      <c r="C23" s="12">
        <v>90</v>
      </c>
      <c r="D23" s="12">
        <v>8</v>
      </c>
      <c r="E23" s="12">
        <v>6</v>
      </c>
      <c r="F23" s="12">
        <v>147</v>
      </c>
    </row>
    <row r="24" spans="1:6" x14ac:dyDescent="0.35">
      <c r="A24" s="14" t="s">
        <v>171</v>
      </c>
      <c r="B24" s="12">
        <v>26</v>
      </c>
      <c r="C24" s="12">
        <v>35</v>
      </c>
      <c r="D24" s="12">
        <v>4</v>
      </c>
      <c r="E24" s="12"/>
      <c r="F24" s="12">
        <v>65</v>
      </c>
    </row>
    <row r="25" spans="1:6" x14ac:dyDescent="0.35">
      <c r="A25" s="14" t="s">
        <v>2556</v>
      </c>
      <c r="B25" s="12">
        <v>6272</v>
      </c>
      <c r="C25" s="12">
        <v>4672</v>
      </c>
      <c r="D25" s="12">
        <v>317</v>
      </c>
      <c r="E25" s="12">
        <v>736</v>
      </c>
      <c r="F25" s="12">
        <v>11997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41DA1-A21A-43FB-815B-196663B8D2A2}">
  <dimension ref="A3:B19"/>
  <sheetViews>
    <sheetView workbookViewId="0">
      <selection activeCell="A4" sqref="A4"/>
    </sheetView>
  </sheetViews>
  <sheetFormatPr defaultRowHeight="14.5" x14ac:dyDescent="0.35"/>
  <cols>
    <col min="1" max="2" width="12.453125" bestFit="1" customWidth="1"/>
  </cols>
  <sheetData>
    <row r="3" spans="1:2" x14ac:dyDescent="0.35">
      <c r="A3" s="13" t="s">
        <v>2555</v>
      </c>
      <c r="B3" t="s">
        <v>2552</v>
      </c>
    </row>
    <row r="4" spans="1:2" x14ac:dyDescent="0.35">
      <c r="A4" s="14">
        <v>0</v>
      </c>
      <c r="B4" s="12">
        <v>175</v>
      </c>
    </row>
    <row r="5" spans="1:2" x14ac:dyDescent="0.35">
      <c r="A5" s="14">
        <v>1</v>
      </c>
      <c r="B5" s="12">
        <v>888</v>
      </c>
    </row>
    <row r="6" spans="1:2" x14ac:dyDescent="0.35">
      <c r="A6" s="14">
        <v>2</v>
      </c>
      <c r="B6" s="12">
        <v>538</v>
      </c>
    </row>
    <row r="7" spans="1:2" x14ac:dyDescent="0.35">
      <c r="A7" s="14">
        <v>3</v>
      </c>
      <c r="B7" s="12">
        <v>344</v>
      </c>
    </row>
    <row r="8" spans="1:2" x14ac:dyDescent="0.35">
      <c r="A8" s="14">
        <v>4</v>
      </c>
      <c r="B8" s="12">
        <v>200</v>
      </c>
    </row>
    <row r="9" spans="1:2" x14ac:dyDescent="0.35">
      <c r="A9" s="14">
        <v>5</v>
      </c>
      <c r="B9" s="12">
        <v>94</v>
      </c>
    </row>
    <row r="10" spans="1:2" x14ac:dyDescent="0.35">
      <c r="A10" s="14">
        <v>6</v>
      </c>
      <c r="B10" s="12">
        <v>51</v>
      </c>
    </row>
    <row r="11" spans="1:2" x14ac:dyDescent="0.35">
      <c r="A11" s="14">
        <v>7</v>
      </c>
      <c r="B11" s="12">
        <v>32</v>
      </c>
    </row>
    <row r="12" spans="1:2" x14ac:dyDescent="0.35">
      <c r="A12" s="14">
        <v>8</v>
      </c>
      <c r="B12" s="12">
        <v>23</v>
      </c>
    </row>
    <row r="13" spans="1:2" x14ac:dyDescent="0.35">
      <c r="A13" s="14">
        <v>9</v>
      </c>
      <c r="B13" s="12">
        <v>9</v>
      </c>
    </row>
    <row r="14" spans="1:2" x14ac:dyDescent="0.35">
      <c r="A14" s="14">
        <v>10</v>
      </c>
      <c r="B14" s="12">
        <v>8</v>
      </c>
    </row>
    <row r="15" spans="1:2" x14ac:dyDescent="0.35">
      <c r="A15" s="14">
        <v>11</v>
      </c>
      <c r="B15" s="12">
        <v>11</v>
      </c>
    </row>
    <row r="16" spans="1:2" x14ac:dyDescent="0.35">
      <c r="A16" s="14">
        <v>12</v>
      </c>
      <c r="B16" s="12">
        <v>4</v>
      </c>
    </row>
    <row r="17" spans="1:2" x14ac:dyDescent="0.35">
      <c r="A17" s="14">
        <v>13</v>
      </c>
      <c r="B17" s="12">
        <v>10</v>
      </c>
    </row>
    <row r="18" spans="1:2" x14ac:dyDescent="0.35">
      <c r="A18" s="14">
        <v>14</v>
      </c>
      <c r="B18" s="12">
        <v>13</v>
      </c>
    </row>
    <row r="19" spans="1:2" x14ac:dyDescent="0.35">
      <c r="A19" s="14" t="s">
        <v>2556</v>
      </c>
      <c r="B19" s="12">
        <v>2400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B191-9F62-4C05-81F8-993DE3EB9F78}">
  <dimension ref="A3:G8"/>
  <sheetViews>
    <sheetView workbookViewId="0">
      <selection activeCell="B8" sqref="B8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4" width="3.81640625" bestFit="1" customWidth="1"/>
    <col min="5" max="5" width="4.81640625" bestFit="1" customWidth="1"/>
    <col min="6" max="6" width="3.81640625" bestFit="1" customWidth="1"/>
    <col min="7" max="7" width="10.36328125" bestFit="1" customWidth="1"/>
    <col min="8" max="19" width="6.54296875" bestFit="1" customWidth="1"/>
    <col min="20" max="20" width="6.26953125" bestFit="1" customWidth="1"/>
    <col min="21" max="41" width="6.1796875" bestFit="1" customWidth="1"/>
    <col min="42" max="85" width="6.54296875" bestFit="1" customWidth="1"/>
    <col min="86" max="86" width="6.26953125" bestFit="1" customWidth="1"/>
    <col min="87" max="117" width="6.1796875" bestFit="1" customWidth="1"/>
    <col min="118" max="174" width="6.54296875" bestFit="1" customWidth="1"/>
    <col min="175" max="175" width="6.26953125" bestFit="1" customWidth="1"/>
    <col min="176" max="206" width="6.1796875" bestFit="1" customWidth="1"/>
    <col min="207" max="263" width="6.54296875" bestFit="1" customWidth="1"/>
    <col min="264" max="264" width="6.26953125" bestFit="1" customWidth="1"/>
    <col min="265" max="295" width="6.1796875" bestFit="1" customWidth="1"/>
    <col min="296" max="352" width="6.54296875" bestFit="1" customWidth="1"/>
    <col min="353" max="353" width="6.26953125" bestFit="1" customWidth="1"/>
    <col min="354" max="354" width="10.36328125" bestFit="1" customWidth="1"/>
  </cols>
  <sheetData>
    <row r="3" spans="1:7" x14ac:dyDescent="0.35">
      <c r="A3" s="13" t="s">
        <v>2552</v>
      </c>
      <c r="B3" s="13" t="s">
        <v>2562</v>
      </c>
    </row>
    <row r="4" spans="1:7" x14ac:dyDescent="0.35">
      <c r="A4" s="13" t="s">
        <v>2555</v>
      </c>
      <c r="B4">
        <v>1</v>
      </c>
      <c r="C4">
        <v>2</v>
      </c>
      <c r="D4">
        <v>3</v>
      </c>
      <c r="E4">
        <v>4</v>
      </c>
      <c r="F4">
        <v>5</v>
      </c>
      <c r="G4" t="s">
        <v>2556</v>
      </c>
    </row>
    <row r="5" spans="1:7" x14ac:dyDescent="0.35">
      <c r="A5" s="14" t="s">
        <v>2570</v>
      </c>
      <c r="B5" s="12">
        <v>7</v>
      </c>
      <c r="C5" s="12">
        <v>37</v>
      </c>
      <c r="D5" s="12">
        <v>150</v>
      </c>
      <c r="E5" s="12">
        <v>312</v>
      </c>
      <c r="F5" s="12">
        <v>224</v>
      </c>
      <c r="G5" s="12">
        <v>730</v>
      </c>
    </row>
    <row r="6" spans="1:7" x14ac:dyDescent="0.35">
      <c r="A6" s="14" t="s">
        <v>2571</v>
      </c>
      <c r="B6" s="12">
        <v>8</v>
      </c>
      <c r="C6" s="12">
        <v>51</v>
      </c>
      <c r="D6" s="12">
        <v>182</v>
      </c>
      <c r="E6" s="12">
        <v>373</v>
      </c>
      <c r="F6" s="12">
        <v>247</v>
      </c>
      <c r="G6" s="12">
        <v>861</v>
      </c>
    </row>
    <row r="7" spans="1:7" x14ac:dyDescent="0.35">
      <c r="A7" s="14" t="s">
        <v>2572</v>
      </c>
      <c r="B7" s="12">
        <v>6</v>
      </c>
      <c r="C7" s="12">
        <v>39</v>
      </c>
      <c r="D7" s="12">
        <v>163</v>
      </c>
      <c r="E7" s="12">
        <v>351</v>
      </c>
      <c r="F7" s="12">
        <v>250</v>
      </c>
      <c r="G7" s="12">
        <v>809</v>
      </c>
    </row>
    <row r="8" spans="1:7" x14ac:dyDescent="0.35">
      <c r="A8" s="14" t="s">
        <v>2556</v>
      </c>
      <c r="B8" s="12">
        <v>21</v>
      </c>
      <c r="C8" s="12">
        <v>127</v>
      </c>
      <c r="D8" s="12">
        <v>495</v>
      </c>
      <c r="E8" s="12">
        <v>1036</v>
      </c>
      <c r="F8" s="12">
        <v>721</v>
      </c>
      <c r="G8" s="12">
        <v>2400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opLeftCell="A2" zoomScale="85" zoomScaleNormal="85" workbookViewId="0">
      <selection activeCell="E10" sqref="E10"/>
    </sheetView>
  </sheetViews>
  <sheetFormatPr defaultRowHeight="14.5" x14ac:dyDescent="0.35"/>
  <cols>
    <col min="2" max="2" width="19.08984375" bestFit="1" customWidth="1"/>
    <col min="3" max="3" width="8.08984375" bestFit="1" customWidth="1"/>
    <col min="4" max="4" width="9.08984375" bestFit="1" customWidth="1"/>
    <col min="5" max="5" width="7.453125" bestFit="1" customWidth="1"/>
    <col min="6" max="6" width="10" bestFit="1" customWidth="1"/>
    <col min="7" max="7" width="9.453125" bestFit="1" customWidth="1"/>
    <col min="8" max="8" width="15.6328125" bestFit="1" customWidth="1"/>
    <col min="9" max="9" width="10.6328125" bestFit="1" customWidth="1"/>
    <col min="10" max="10" width="7.81640625" bestFit="1" customWidth="1"/>
    <col min="11" max="11" width="8.81640625" bestFit="1" customWidth="1"/>
    <col min="12" max="12" width="19.6328125" bestFit="1" customWidth="1"/>
    <col min="13" max="13" width="13.36328125" bestFit="1" customWidth="1"/>
    <col min="14" max="14" width="9.36328125" bestFit="1" customWidth="1"/>
    <col min="15" max="15" width="12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5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5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5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5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5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5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5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5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5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5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5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5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5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5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5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5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5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5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5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5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5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5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5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5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5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5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5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5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5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5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5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5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5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5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5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5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5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5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5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5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5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5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5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5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5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5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5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5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5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5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5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5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5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5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5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5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5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5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5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5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5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5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5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5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5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5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5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5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5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5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5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5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5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5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5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5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5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5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5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5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5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5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5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5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5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5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5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5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5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5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5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5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5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5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5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5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5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5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5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5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5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5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5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5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5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5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5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5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5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5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5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5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5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5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5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5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5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5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5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5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5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5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5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5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5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5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5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5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5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5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5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5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5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5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5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5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5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5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5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5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5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5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5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5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5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5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5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5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67F3-9B1F-4E76-93FF-B0BCB729337C}">
  <dimension ref="B2:B18"/>
  <sheetViews>
    <sheetView workbookViewId="0">
      <selection activeCell="E9" sqref="E9"/>
    </sheetView>
  </sheetViews>
  <sheetFormatPr defaultRowHeight="14.5" x14ac:dyDescent="0.35"/>
  <cols>
    <col min="1" max="1" width="3.6328125" customWidth="1"/>
    <col min="2" max="2" width="52.81640625" customWidth="1"/>
  </cols>
  <sheetData>
    <row r="2" spans="2:2" x14ac:dyDescent="0.35">
      <c r="B2" s="3" t="s">
        <v>2503</v>
      </c>
    </row>
    <row r="3" spans="2:2" x14ac:dyDescent="0.35">
      <c r="B3" s="4" t="s">
        <v>2504</v>
      </c>
    </row>
    <row r="4" spans="2:2" x14ac:dyDescent="0.35">
      <c r="B4" s="4" t="s">
        <v>2505</v>
      </c>
    </row>
    <row r="5" spans="2:2" x14ac:dyDescent="0.35">
      <c r="B5" s="4" t="s">
        <v>2506</v>
      </c>
    </row>
    <row r="6" spans="2:2" x14ac:dyDescent="0.35">
      <c r="B6" s="4" t="s">
        <v>2507</v>
      </c>
    </row>
    <row r="7" spans="2:2" x14ac:dyDescent="0.35">
      <c r="B7" s="4" t="s">
        <v>2508</v>
      </c>
    </row>
    <row r="10" spans="2:2" x14ac:dyDescent="0.35">
      <c r="B10" s="3" t="s">
        <v>2509</v>
      </c>
    </row>
    <row r="11" spans="2:2" x14ac:dyDescent="0.35">
      <c r="B11" t="s">
        <v>2510</v>
      </c>
    </row>
    <row r="12" spans="2:2" x14ac:dyDescent="0.35">
      <c r="B12" t="s">
        <v>2511</v>
      </c>
    </row>
    <row r="13" spans="2:2" x14ac:dyDescent="0.35">
      <c r="B13" t="s">
        <v>2512</v>
      </c>
    </row>
    <row r="14" spans="2:2" x14ac:dyDescent="0.35">
      <c r="B14" t="s">
        <v>2513</v>
      </c>
    </row>
    <row r="15" spans="2:2" x14ac:dyDescent="0.35">
      <c r="B15" t="s">
        <v>2514</v>
      </c>
    </row>
    <row r="16" spans="2:2" x14ac:dyDescent="0.35">
      <c r="B16" t="s">
        <v>2515</v>
      </c>
    </row>
    <row r="17" spans="2:2" x14ac:dyDescent="0.35">
      <c r="B17" t="s">
        <v>2516</v>
      </c>
    </row>
    <row r="18" spans="2:2" x14ac:dyDescent="0.35">
      <c r="B18" t="s">
        <v>2517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FF67-6F2A-40D1-BD8F-FC8AD44723FB}">
  <dimension ref="A1"/>
  <sheetViews>
    <sheetView workbookViewId="0">
      <selection activeCell="AE6" sqref="AE6"/>
    </sheetView>
  </sheetViews>
  <sheetFormatPr defaultRowHeight="14.5" x14ac:dyDescent="0.35"/>
  <cols>
    <col min="1" max="1" width="3.36328125" customWidth="1"/>
    <col min="2" max="2" width="22.1796875" customWidth="1"/>
    <col min="3" max="4" width="3.36328125" customWidth="1"/>
    <col min="26" max="26" width="3.36328125" customWidth="1"/>
  </cols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D30B-60E4-4685-B421-10EFD7769A97}">
  <dimension ref="B2:H24"/>
  <sheetViews>
    <sheetView workbookViewId="0">
      <selection activeCell="N7" sqref="N7"/>
    </sheetView>
  </sheetViews>
  <sheetFormatPr defaultRowHeight="14.5" x14ac:dyDescent="0.35"/>
  <cols>
    <col min="1" max="1" width="3.36328125" customWidth="1"/>
    <col min="8" max="8" width="37.36328125" customWidth="1"/>
  </cols>
  <sheetData>
    <row r="2" spans="2:8" x14ac:dyDescent="0.35">
      <c r="H2" t="s">
        <v>2548</v>
      </c>
    </row>
    <row r="3" spans="2:8" x14ac:dyDescent="0.35">
      <c r="B3" t="s">
        <v>2518</v>
      </c>
    </row>
    <row r="4" spans="2:8" x14ac:dyDescent="0.35">
      <c r="H4" s="11" t="s">
        <v>2549</v>
      </c>
    </row>
    <row r="5" spans="2:8" x14ac:dyDescent="0.35">
      <c r="B5" t="s">
        <v>2519</v>
      </c>
      <c r="H5" s="11" t="s">
        <v>2550</v>
      </c>
    </row>
    <row r="6" spans="2:8" x14ac:dyDescent="0.35">
      <c r="B6" s="5"/>
      <c r="C6" t="s">
        <v>2520</v>
      </c>
      <c r="D6" t="s">
        <v>2526</v>
      </c>
      <c r="H6" t="s">
        <v>2551</v>
      </c>
    </row>
    <row r="7" spans="2:8" x14ac:dyDescent="0.35">
      <c r="B7" s="6"/>
      <c r="C7" t="s">
        <v>2521</v>
      </c>
      <c r="D7" t="s">
        <v>2527</v>
      </c>
    </row>
    <row r="8" spans="2:8" x14ac:dyDescent="0.35">
      <c r="B8" s="7"/>
      <c r="C8" t="s">
        <v>2522</v>
      </c>
      <c r="D8" t="s">
        <v>2528</v>
      </c>
    </row>
    <row r="9" spans="2:8" x14ac:dyDescent="0.35">
      <c r="B9" s="8"/>
      <c r="C9" t="s">
        <v>2523</v>
      </c>
      <c r="D9" t="s">
        <v>2529</v>
      </c>
    </row>
    <row r="10" spans="2:8" x14ac:dyDescent="0.35">
      <c r="B10" s="9"/>
      <c r="C10" t="s">
        <v>2524</v>
      </c>
      <c r="D10" t="s">
        <v>2530</v>
      </c>
    </row>
    <row r="11" spans="2:8" x14ac:dyDescent="0.35">
      <c r="B11" s="2"/>
      <c r="C11" t="s">
        <v>2525</v>
      </c>
      <c r="D11" t="s">
        <v>2531</v>
      </c>
    </row>
    <row r="13" spans="2:8" x14ac:dyDescent="0.35">
      <c r="B13" t="s">
        <v>2532</v>
      </c>
    </row>
    <row r="14" spans="2:8" x14ac:dyDescent="0.35">
      <c r="B14" t="s">
        <v>2533</v>
      </c>
      <c r="C14" t="s">
        <v>2538</v>
      </c>
    </row>
    <row r="15" spans="2:8" x14ac:dyDescent="0.35">
      <c r="B15" t="s">
        <v>2534</v>
      </c>
      <c r="C15" t="s">
        <v>2</v>
      </c>
    </row>
    <row r="16" spans="2:8" x14ac:dyDescent="0.35">
      <c r="B16" t="s">
        <v>2535</v>
      </c>
      <c r="C16" t="s">
        <v>4</v>
      </c>
    </row>
    <row r="17" spans="2:3" x14ac:dyDescent="0.35">
      <c r="B17" t="s">
        <v>2536</v>
      </c>
      <c r="C17" t="s">
        <v>2539</v>
      </c>
    </row>
    <row r="18" spans="2:3" x14ac:dyDescent="0.35">
      <c r="B18" t="s">
        <v>2537</v>
      </c>
      <c r="C18" t="s">
        <v>2540</v>
      </c>
    </row>
    <row r="21" spans="2:3" x14ac:dyDescent="0.35">
      <c r="B21" t="s">
        <v>2541</v>
      </c>
    </row>
    <row r="22" spans="2:3" x14ac:dyDescent="0.35">
      <c r="B22" t="s">
        <v>2542</v>
      </c>
      <c r="C22" t="s">
        <v>2543</v>
      </c>
    </row>
    <row r="23" spans="2:3" x14ac:dyDescent="0.35">
      <c r="B23" t="s">
        <v>2544</v>
      </c>
      <c r="C23" t="s">
        <v>2545</v>
      </c>
    </row>
    <row r="24" spans="2:3" x14ac:dyDescent="0.35">
      <c r="B24" s="10" t="s">
        <v>2546</v>
      </c>
      <c r="C24" t="s">
        <v>2547</v>
      </c>
    </row>
  </sheetData>
  <phoneticPr fontId="2" type="noConversion"/>
  <hyperlinks>
    <hyperlink ref="H4" r:id="rId1" xr:uid="{A77862B0-B580-43DF-9272-7B32B5A35427}"/>
    <hyperlink ref="H5" r:id="rId2" xr:uid="{602AE8E3-2587-4F74-A241-C4690768D1EC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dshb</vt:lpstr>
      <vt:lpstr>Sheet2</vt:lpstr>
      <vt:lpstr>Sheet5</vt:lpstr>
      <vt:lpstr>Sheet6</vt:lpstr>
      <vt:lpstr>Sheet7</vt:lpstr>
      <vt:lpstr>Sheet9</vt:lpstr>
      <vt:lpstr>Sheet10</vt:lpstr>
      <vt:lpstr>Data</vt:lpstr>
      <vt:lpstr>Questions &amp; KPIs</vt:lpstr>
      <vt:lpstr>Dashboard</vt:lpstr>
      <vt:lpstr>Logo &amp; 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Nilay Pratap Singh</cp:lastModifiedBy>
  <dcterms:created xsi:type="dcterms:W3CDTF">2025-06-13T02:42:26Z</dcterms:created>
  <dcterms:modified xsi:type="dcterms:W3CDTF">2026-04-25T18:23:09Z</dcterms:modified>
</cp:coreProperties>
</file>